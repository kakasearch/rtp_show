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\"/>
    </mc:Choice>
  </mc:AlternateContent>
  <xr:revisionPtr revIDLastSave="0" documentId="13_ncr:1_{4473565A-EDED-46AD-935D-C535750745DD}" xr6:coauthVersionLast="47" xr6:coauthVersionMax="47" xr10:uidLastSave="{00000000-0000-0000-0000-000000000000}"/>
  <bookViews>
    <workbookView xWindow="-110" yWindow="-110" windowWidth="19420" windowHeight="11020" activeTab="1" xr2:uid="{00000000-000D-0000-FFFF-FFFF00000000}"/>
  </bookViews>
  <sheets>
    <sheet name="Sheet1" sheetId="1" r:id="rId1"/>
    <sheet name="路肩高程" sheetId="7" r:id="rId2"/>
    <sheet name="运行时分计算" sheetId="2" r:id="rId3"/>
    <sheet name="Sheet2" sheetId="4" r:id="rId4"/>
    <sheet name="土石方" sheetId="5" r:id="rId5"/>
    <sheet name="技术经济指标" sheetId="6" r:id="rId6"/>
    <sheet name="money" sheetId="3" r:id="rId7"/>
  </sheets>
  <functionGroups builtInGroupCount="19"/>
  <definedNames>
    <definedName name="_xlnm._FilterDatabase" localSheetId="4" hidden="1">土石方!$A$3:$M$63</definedName>
  </definedNames>
  <calcPr calcId="191029"/>
  <extLst>
    <ext xmlns:x14="http://schemas.microsoft.com/office/spreadsheetml/2009/9/main" uri="{8193D73E-4604-4355-AFF4-8A2333D13BE4}">
      <x14:definedNames>
        <x14:definedName name="cal_lujia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verse_pd">
          <x14:argumentDescriptions count="1">
            <x14:argumentDescription index="0">Positional argument 1</x14:argumentDescription>
          </x14:argumentDescriptions>
        </x14:definedName>
        <x14:definedName name="test">
          <x14:argumentDescriptions count="1">
            <x14:argumentDescription index="0">Positional argument 1</x14:argumentDescription>
          </x14:argumentDescriptions>
        </x14:definedName>
        <x14:definedName name="tongji">
          <x14:argumentDescriptions count="1">
            <x14:argumentDescription index="0">Positional argument 1</x14:argumentDescription>
          </x14:argumentDescriptions>
        </x14:definedName>
        <x14:definedName name="xxn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xxnc_df4b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7" l="1"/>
  <c r="H5" i="7" s="1"/>
  <c r="H6" i="7" s="1"/>
  <c r="H7" i="7" s="1"/>
  <c r="H8" i="7" s="1"/>
  <c r="H9" i="7" s="1"/>
  <c r="H10" i="7" s="1"/>
  <c r="H11" i="7" s="1"/>
  <c r="H12" i="7" s="1"/>
  <c r="H13" i="7" s="1"/>
  <c r="H14" i="7" s="1"/>
  <c r="H15" i="7" s="1"/>
  <c r="J24" i="5"/>
  <c r="I24" i="5"/>
  <c r="H24" i="5"/>
  <c r="G33" i="5"/>
  <c r="F33" i="5"/>
  <c r="J53" i="5"/>
  <c r="H53" i="5"/>
  <c r="H52" i="5"/>
  <c r="I53" i="5"/>
  <c r="F52" i="5"/>
  <c r="F54" i="5"/>
  <c r="I54" i="5" s="1"/>
  <c r="G54" i="5"/>
  <c r="J54" i="5" s="1"/>
  <c r="H54" i="5"/>
  <c r="H35" i="5"/>
  <c r="H33" i="5"/>
  <c r="H34" i="5"/>
  <c r="I34" i="5" s="1"/>
  <c r="S16" i="5"/>
  <c r="F25" i="5"/>
  <c r="G25" i="5"/>
  <c r="H25" i="5"/>
  <c r="J28" i="5"/>
  <c r="J37" i="5"/>
  <c r="I38" i="5"/>
  <c r="F4" i="5"/>
  <c r="G4" i="5"/>
  <c r="F5" i="5"/>
  <c r="I5" i="5" s="1"/>
  <c r="G5" i="5"/>
  <c r="F6" i="5"/>
  <c r="G6" i="5"/>
  <c r="F7" i="5"/>
  <c r="G7" i="5"/>
  <c r="F8" i="5"/>
  <c r="G8" i="5"/>
  <c r="J8" i="5" s="1"/>
  <c r="F9" i="5"/>
  <c r="G9" i="5"/>
  <c r="J9" i="5" s="1"/>
  <c r="F10" i="5"/>
  <c r="I10" i="5" s="1"/>
  <c r="G10" i="5"/>
  <c r="J10" i="5" s="1"/>
  <c r="F11" i="5"/>
  <c r="I11" i="5" s="1"/>
  <c r="G11" i="5"/>
  <c r="J11" i="5" s="1"/>
  <c r="F12" i="5"/>
  <c r="G12" i="5"/>
  <c r="F13" i="5"/>
  <c r="I13" i="5" s="1"/>
  <c r="G13" i="5"/>
  <c r="F14" i="5"/>
  <c r="G14" i="5"/>
  <c r="F15" i="5"/>
  <c r="G15" i="5"/>
  <c r="F16" i="5"/>
  <c r="G16" i="5"/>
  <c r="J16" i="5" s="1"/>
  <c r="F17" i="5"/>
  <c r="G17" i="5"/>
  <c r="J17" i="5" s="1"/>
  <c r="F18" i="5"/>
  <c r="I18" i="5" s="1"/>
  <c r="G18" i="5"/>
  <c r="F19" i="5"/>
  <c r="I19" i="5" s="1"/>
  <c r="G19" i="5"/>
  <c r="J19" i="5" s="1"/>
  <c r="F20" i="5"/>
  <c r="G20" i="5"/>
  <c r="F21" i="5"/>
  <c r="I21" i="5" s="1"/>
  <c r="G21" i="5"/>
  <c r="F22" i="5"/>
  <c r="G22" i="5"/>
  <c r="F23" i="5"/>
  <c r="G23" i="5"/>
  <c r="F26" i="5"/>
  <c r="G26" i="5"/>
  <c r="J26" i="5" s="1"/>
  <c r="F27" i="5"/>
  <c r="G27" i="5"/>
  <c r="J27" i="5" s="1"/>
  <c r="F28" i="5"/>
  <c r="I28" i="5" s="1"/>
  <c r="G28" i="5"/>
  <c r="F29" i="5"/>
  <c r="I29" i="5" s="1"/>
  <c r="G29" i="5"/>
  <c r="J29" i="5" s="1"/>
  <c r="F30" i="5"/>
  <c r="G30" i="5"/>
  <c r="F31" i="5"/>
  <c r="I31" i="5" s="1"/>
  <c r="G31" i="5"/>
  <c r="F32" i="5"/>
  <c r="G32" i="5"/>
  <c r="F35" i="5"/>
  <c r="G35" i="5"/>
  <c r="J35" i="5" s="1"/>
  <c r="F36" i="5"/>
  <c r="G36" i="5"/>
  <c r="J36" i="5" s="1"/>
  <c r="F37" i="5"/>
  <c r="I37" i="5" s="1"/>
  <c r="G37" i="5"/>
  <c r="F38" i="5"/>
  <c r="G38" i="5"/>
  <c r="J38" i="5" s="1"/>
  <c r="F39" i="5"/>
  <c r="G39" i="5"/>
  <c r="F40" i="5"/>
  <c r="G40" i="5"/>
  <c r="F41" i="5"/>
  <c r="G41" i="5"/>
  <c r="F42" i="5"/>
  <c r="I42" i="5" s="1"/>
  <c r="G42" i="5"/>
  <c r="J42" i="5" s="1"/>
  <c r="F43" i="5"/>
  <c r="G43" i="5"/>
  <c r="F44" i="5"/>
  <c r="G44" i="5"/>
  <c r="J44" i="5" s="1"/>
  <c r="F45" i="5"/>
  <c r="I45" i="5" s="1"/>
  <c r="G45" i="5"/>
  <c r="J45" i="5" s="1"/>
  <c r="F46" i="5"/>
  <c r="I46" i="5" s="1"/>
  <c r="G46" i="5"/>
  <c r="J46" i="5" s="1"/>
  <c r="F47" i="5"/>
  <c r="G47" i="5"/>
  <c r="F48" i="5"/>
  <c r="G48" i="5"/>
  <c r="F49" i="5"/>
  <c r="G49" i="5"/>
  <c r="F50" i="5"/>
  <c r="I50" i="5" s="1"/>
  <c r="G50" i="5"/>
  <c r="J50" i="5" s="1"/>
  <c r="F51" i="5"/>
  <c r="G51" i="5"/>
  <c r="G52" i="5"/>
  <c r="J52" i="5" s="1"/>
  <c r="F55" i="5"/>
  <c r="I55" i="5" s="1"/>
  <c r="G55" i="5"/>
  <c r="F56" i="5"/>
  <c r="G56" i="5"/>
  <c r="J56" i="5" s="1"/>
  <c r="F57" i="5"/>
  <c r="G57" i="5"/>
  <c r="F58" i="5"/>
  <c r="G58" i="5"/>
  <c r="F59" i="5"/>
  <c r="I59" i="5" s="1"/>
  <c r="G59" i="5"/>
  <c r="F60" i="5"/>
  <c r="I60" i="5" s="1"/>
  <c r="G60" i="5"/>
  <c r="J60" i="5" s="1"/>
  <c r="G3" i="5"/>
  <c r="J3" i="5" s="1"/>
  <c r="F3" i="5"/>
  <c r="H4" i="5"/>
  <c r="H5" i="5"/>
  <c r="H6" i="5"/>
  <c r="J6" i="5" s="1"/>
  <c r="H7" i="5"/>
  <c r="I7" i="5" s="1"/>
  <c r="H8" i="5"/>
  <c r="H9" i="5"/>
  <c r="H10" i="5"/>
  <c r="H11" i="5"/>
  <c r="H12" i="5"/>
  <c r="H13" i="5"/>
  <c r="H14" i="5"/>
  <c r="J14" i="5" s="1"/>
  <c r="H15" i="5"/>
  <c r="I15" i="5" s="1"/>
  <c r="H16" i="5"/>
  <c r="H17" i="5"/>
  <c r="H18" i="5"/>
  <c r="J18" i="5" s="1"/>
  <c r="H19" i="5"/>
  <c r="H20" i="5"/>
  <c r="H21" i="5"/>
  <c r="H22" i="5"/>
  <c r="J22" i="5" s="1"/>
  <c r="H23" i="5"/>
  <c r="I23" i="5" s="1"/>
  <c r="H26" i="5"/>
  <c r="H27" i="5"/>
  <c r="H28" i="5"/>
  <c r="H29" i="5"/>
  <c r="H30" i="5"/>
  <c r="H31" i="5"/>
  <c r="H32" i="5"/>
  <c r="J32" i="5" s="1"/>
  <c r="H36" i="5"/>
  <c r="H37" i="5"/>
  <c r="H38" i="5"/>
  <c r="H39" i="5"/>
  <c r="H40" i="5"/>
  <c r="J40" i="5" s="1"/>
  <c r="H41" i="5"/>
  <c r="J41" i="5" s="1"/>
  <c r="H42" i="5"/>
  <c r="H43" i="5"/>
  <c r="H44" i="5"/>
  <c r="H45" i="5"/>
  <c r="H46" i="5"/>
  <c r="H47" i="5"/>
  <c r="H48" i="5"/>
  <c r="J48" i="5" s="1"/>
  <c r="H49" i="5"/>
  <c r="J49" i="5" s="1"/>
  <c r="H50" i="5"/>
  <c r="H51" i="5"/>
  <c r="H55" i="5"/>
  <c r="H56" i="5"/>
  <c r="H57" i="5"/>
  <c r="J57" i="5" s="1"/>
  <c r="H58" i="5"/>
  <c r="J58" i="5" s="1"/>
  <c r="H59" i="5"/>
  <c r="H60" i="5"/>
  <c r="H3" i="5"/>
  <c r="I3" i="5" s="1"/>
  <c r="S32" i="5"/>
  <c r="S31" i="5"/>
  <c r="S30" i="5"/>
  <c r="S29" i="5"/>
  <c r="S28" i="5"/>
  <c r="S27" i="5"/>
  <c r="S26" i="5"/>
  <c r="S25" i="5"/>
  <c r="S24" i="5"/>
  <c r="S23" i="5"/>
  <c r="S22" i="5"/>
  <c r="S21" i="5"/>
  <c r="S20" i="5"/>
  <c r="S19" i="5"/>
  <c r="S6" i="5"/>
  <c r="S7" i="5"/>
  <c r="S8" i="5"/>
  <c r="S9" i="5"/>
  <c r="S10" i="5"/>
  <c r="S11" i="5"/>
  <c r="S12" i="5"/>
  <c r="S13" i="5"/>
  <c r="S14" i="5"/>
  <c r="S15" i="5"/>
  <c r="S5" i="5"/>
  <c r="H22" i="3"/>
  <c r="H7" i="3"/>
  <c r="L27" i="2"/>
  <c r="P30" i="2"/>
  <c r="L29" i="2" s="1"/>
  <c r="B25" i="7"/>
  <c r="B33" i="7"/>
  <c r="B26" i="7"/>
  <c r="B34" i="7"/>
  <c r="B32" i="7"/>
  <c r="B27" i="7"/>
  <c r="B28" i="7"/>
  <c r="B30" i="7"/>
  <c r="B29" i="7"/>
  <c r="B31" i="7"/>
  <c r="B20" i="7"/>
  <c r="B38" i="7"/>
  <c r="B46" i="7"/>
  <c r="B54" i="7"/>
  <c r="B62" i="7"/>
  <c r="B70" i="7"/>
  <c r="B65" i="7"/>
  <c r="B24" i="7"/>
  <c r="B66" i="7"/>
  <c r="B59" i="7"/>
  <c r="B36" i="7"/>
  <c r="B37" i="7"/>
  <c r="B21" i="7"/>
  <c r="B39" i="7"/>
  <c r="B47" i="7"/>
  <c r="B55" i="7"/>
  <c r="B63" i="7"/>
  <c r="B71" i="7"/>
  <c r="B56" i="7"/>
  <c r="B72" i="7"/>
  <c r="B57" i="7"/>
  <c r="B58" i="7"/>
  <c r="B74" i="7"/>
  <c r="B51" i="7"/>
  <c r="B52" i="7"/>
  <c r="B61" i="7"/>
  <c r="B22" i="7"/>
  <c r="B40" i="7"/>
  <c r="B48" i="7"/>
  <c r="B64" i="7"/>
  <c r="B73" i="7"/>
  <c r="B42" i="7"/>
  <c r="B43" i="7"/>
  <c r="B44" i="7"/>
  <c r="B45" i="7"/>
  <c r="B69" i="7"/>
  <c r="B23" i="7"/>
  <c r="B41" i="7"/>
  <c r="B49" i="7"/>
  <c r="B50" i="7"/>
  <c r="B35" i="7"/>
  <c r="B67" i="7"/>
  <c r="B60" i="7"/>
  <c r="B68" i="7"/>
  <c r="B53" i="7"/>
  <c r="B4" i="7"/>
  <c r="B12" i="7"/>
  <c r="B5" i="7"/>
  <c r="B14" i="7"/>
  <c r="B10" i="7"/>
  <c r="B13" i="7"/>
  <c r="B11" i="7"/>
  <c r="B6" i="7"/>
  <c r="B7" i="7"/>
  <c r="B15" i="7"/>
  <c r="B16" i="7"/>
  <c r="B9" i="7"/>
  <c r="B19" i="7"/>
  <c r="B8" i="7"/>
  <c r="B17" i="7"/>
  <c r="B18" i="7"/>
  <c r="B3" i="7"/>
  <c r="B12" i="1"/>
  <c r="B17" i="1"/>
  <c r="B18" i="1"/>
  <c r="B13" i="1"/>
  <c r="B16" i="1"/>
  <c r="B14" i="1"/>
  <c r="B15" i="1"/>
  <c r="Q37" i="5" a="1"/>
  <c r="D3" i="3" a="1"/>
  <c r="D18" i="3" a="1"/>
  <c r="D26" i="3" a="1"/>
  <c r="D2" i="3" a="1"/>
  <c r="R2" i="5" a="1"/>
  <c r="D7" i="3" a="1"/>
  <c r="D14" i="3" a="1"/>
  <c r="D16" i="3" a="1"/>
  <c r="Q2" i="5" a="1"/>
  <c r="D11" i="3" a="1"/>
  <c r="D8" i="3" a="1"/>
  <c r="D24" i="3" a="1"/>
  <c r="D15" i="3" a="1"/>
  <c r="D13" i="3" a="1"/>
  <c r="D27" i="3" a="1"/>
  <c r="D6" i="3" a="1"/>
  <c r="K62" i="5" a="1"/>
  <c r="D19" i="3" a="1"/>
  <c r="D21" i="3" a="1"/>
  <c r="D22" i="3" a="1"/>
  <c r="D5" i="3" a="1"/>
  <c r="K60" i="5" a="1"/>
  <c r="D23" i="3" a="1"/>
  <c r="D17" i="3" a="1"/>
  <c r="D20" i="3" a="1"/>
  <c r="D9" i="3" a="1"/>
  <c r="K45" i="5" a="1"/>
  <c r="N5" i="3" a="1"/>
  <c r="D10" i="3" a="1"/>
  <c r="D4" i="3" a="1"/>
  <c r="R37" i="5" a="1"/>
  <c r="D25" i="3" a="1"/>
  <c r="D12" i="3" a="1"/>
  <c r="K62" i="5" l="1"/>
  <c r="K60" i="5"/>
  <c r="K45" i="5"/>
  <c r="I33" i="5"/>
  <c r="I52" i="5"/>
  <c r="I48" i="5"/>
  <c r="I44" i="5"/>
  <c r="I40" i="5"/>
  <c r="I36" i="5"/>
  <c r="I27" i="5"/>
  <c r="I17" i="5"/>
  <c r="I9" i="5"/>
  <c r="J25" i="5"/>
  <c r="J51" i="5"/>
  <c r="J47" i="5"/>
  <c r="J43" i="5"/>
  <c r="J39" i="5"/>
  <c r="J30" i="5"/>
  <c r="J20" i="5"/>
  <c r="J12" i="5"/>
  <c r="J4" i="5"/>
  <c r="I57" i="5"/>
  <c r="I51" i="5"/>
  <c r="I47" i="5"/>
  <c r="I43" i="5"/>
  <c r="I39" i="5"/>
  <c r="I35" i="5"/>
  <c r="I30" i="5"/>
  <c r="I26" i="5"/>
  <c r="I20" i="5"/>
  <c r="I16" i="5"/>
  <c r="I12" i="5"/>
  <c r="I8" i="5"/>
  <c r="I4" i="5"/>
  <c r="I25" i="5"/>
  <c r="J23" i="5"/>
  <c r="J15" i="5"/>
  <c r="J7" i="5"/>
  <c r="I56" i="5"/>
  <c r="J31" i="5"/>
  <c r="J21" i="5"/>
  <c r="J13" i="5"/>
  <c r="J5" i="5"/>
  <c r="J59" i="5"/>
  <c r="J55" i="5"/>
  <c r="J33" i="5"/>
  <c r="J34" i="5"/>
  <c r="I14" i="5"/>
  <c r="I6" i="5"/>
  <c r="I58" i="5"/>
  <c r="I49" i="5"/>
  <c r="I41" i="5"/>
  <c r="I32" i="5"/>
  <c r="I22" i="5"/>
  <c r="R37" i="5"/>
  <c r="Q37" i="5"/>
  <c r="S37" i="5" s="1"/>
  <c r="R2" i="5"/>
  <c r="Q2" i="5"/>
  <c r="S2" i="5" s="1"/>
  <c r="N5" i="3"/>
  <c r="D2" i="3"/>
  <c r="F2" i="3" s="1"/>
  <c r="D6" i="3"/>
  <c r="F6" i="3" s="1"/>
  <c r="D26" i="3"/>
  <c r="F26" i="3" s="1"/>
  <c r="D20" i="3"/>
  <c r="F20" i="3" s="1"/>
  <c r="D8" i="3"/>
  <c r="F8" i="3" s="1"/>
  <c r="D18" i="3"/>
  <c r="F18" i="3" s="1"/>
  <c r="D10" i="3"/>
  <c r="F10" i="3" s="1"/>
  <c r="D21" i="3"/>
  <c r="F21" i="3" s="1"/>
  <c r="D9" i="3"/>
  <c r="F9" i="3" s="1"/>
  <c r="D24" i="3"/>
  <c r="F24" i="3" s="1"/>
  <c r="D12" i="3"/>
  <c r="F12" i="3" s="1"/>
  <c r="D22" i="3"/>
  <c r="F22" i="3" s="1"/>
  <c r="D14" i="3"/>
  <c r="F14" i="3" s="1"/>
  <c r="D25" i="3"/>
  <c r="F25" i="3" s="1"/>
  <c r="D17" i="3"/>
  <c r="F17" i="3" s="1"/>
  <c r="D13" i="3"/>
  <c r="F13" i="3" s="1"/>
  <c r="D5" i="3"/>
  <c r="F5" i="3" s="1"/>
  <c r="D16" i="3"/>
  <c r="F16" i="3" s="1"/>
  <c r="D4" i="3"/>
  <c r="F4" i="3" s="1"/>
  <c r="D27" i="3"/>
  <c r="F27" i="3" s="1"/>
  <c r="D23" i="3"/>
  <c r="F23" i="3" s="1"/>
  <c r="D19" i="3"/>
  <c r="F19" i="3" s="1"/>
  <c r="D15" i="3"/>
  <c r="F15" i="3" s="1"/>
  <c r="D11" i="3"/>
  <c r="F11" i="3" s="1"/>
  <c r="D7" i="3"/>
  <c r="F7" i="3" s="1"/>
  <c r="D3" i="3"/>
  <c r="F3" i="3" s="1"/>
  <c r="E8" i="2"/>
  <c r="E7" i="2"/>
  <c r="D3" i="2"/>
  <c r="F3" i="2" s="1"/>
  <c r="D4" i="2"/>
  <c r="F4" i="2" s="1"/>
  <c r="D5" i="2"/>
  <c r="F5" i="2" s="1"/>
  <c r="D6" i="2"/>
  <c r="F6" i="2" s="1"/>
  <c r="D7" i="2"/>
  <c r="D8" i="2"/>
  <c r="D9" i="2"/>
  <c r="F9" i="2" s="1"/>
  <c r="D10" i="2"/>
  <c r="F10" i="2" s="1"/>
  <c r="D11" i="2"/>
  <c r="F11" i="2" s="1"/>
  <c r="D12" i="2"/>
  <c r="F12" i="2" s="1"/>
  <c r="D13" i="2"/>
  <c r="F13" i="2" s="1"/>
  <c r="D14" i="2"/>
  <c r="F14" i="2" s="1"/>
  <c r="D2" i="2"/>
  <c r="F2" i="2" s="1"/>
  <c r="I21" i="1"/>
  <c r="I10" i="1"/>
  <c r="I11" i="1" s="1"/>
  <c r="I12" i="1" s="1"/>
  <c r="I13" i="1" s="1"/>
  <c r="D8" i="1"/>
  <c r="G4" i="1"/>
  <c r="F4" i="1"/>
  <c r="E4" i="1"/>
  <c r="C2" i="1"/>
  <c r="C1" i="1"/>
  <c r="G3" i="2" a="1"/>
  <c r="G12" i="2" a="1"/>
  <c r="G10" i="2" a="1"/>
  <c r="G13" i="2" a="1"/>
  <c r="B15" i="2" a="1"/>
  <c r="G9" i="2" a="1"/>
  <c r="K23" i="5" a="1"/>
  <c r="G5" i="2" a="1"/>
  <c r="G11" i="2" a="1"/>
  <c r="G4" i="2" a="1"/>
  <c r="G14" i="2" a="1"/>
  <c r="G2" i="2" a="1"/>
  <c r="G6" i="2" a="1"/>
  <c r="K23" i="5" l="1"/>
  <c r="G27" i="3"/>
  <c r="G14" i="3"/>
  <c r="G10" i="2"/>
  <c r="H10" i="2" s="1"/>
  <c r="G9" i="2"/>
  <c r="H9" i="2" s="1"/>
  <c r="G2" i="2"/>
  <c r="H2" i="2" s="1"/>
  <c r="G6" i="2"/>
  <c r="H6" i="2" s="1"/>
  <c r="B15" i="2"/>
  <c r="G11" i="2"/>
  <c r="H11" i="2" s="1"/>
  <c r="G14" i="2"/>
  <c r="H14" i="2" s="1"/>
  <c r="G13" i="2"/>
  <c r="H13" i="2" s="1"/>
  <c r="G5" i="2"/>
  <c r="H5" i="2" s="1"/>
  <c r="G12" i="2"/>
  <c r="H12" i="2" s="1"/>
  <c r="G4" i="2"/>
  <c r="H4" i="2" s="1"/>
  <c r="G3" i="2"/>
  <c r="H3" i="2" s="1"/>
  <c r="F8" i="2"/>
  <c r="F7" i="2"/>
  <c r="I14" i="1"/>
  <c r="I15" i="1" s="1"/>
  <c r="I16" i="1" s="1"/>
  <c r="I17" i="1" s="1"/>
  <c r="I18" i="1" s="1"/>
  <c r="I19" i="1" s="1"/>
  <c r="I20" i="1" s="1"/>
  <c r="G8" i="2" a="1"/>
  <c r="G7" i="2" a="1"/>
  <c r="I6" i="2" l="1"/>
  <c r="I14" i="2"/>
  <c r="I11" i="2"/>
  <c r="I2" i="2"/>
  <c r="I5" i="2"/>
  <c r="I9" i="2"/>
  <c r="I13" i="2"/>
  <c r="I3" i="2"/>
  <c r="I10" i="2"/>
  <c r="I12" i="2"/>
  <c r="I4" i="2"/>
  <c r="G7" i="2"/>
  <c r="H7" i="2" s="1"/>
  <c r="G8" i="2"/>
  <c r="H8" i="2" s="1"/>
  <c r="I8" i="2" l="1"/>
  <c r="I7" i="2"/>
  <c r="M13" i="2" l="1"/>
  <c r="L22" i="2"/>
  <c r="E27" i="2" l="1"/>
  <c r="D27" i="2"/>
  <c r="C27" i="2"/>
  <c r="F27" i="2" s="1"/>
  <c r="B27" i="2"/>
  <c r="E26" i="2"/>
  <c r="D26" i="2"/>
  <c r="C26" i="2"/>
  <c r="F26" i="2" s="1"/>
  <c r="B26" i="2"/>
  <c r="E25" i="2"/>
  <c r="D25" i="2"/>
  <c r="C25" i="2"/>
  <c r="F25" i="2" s="1"/>
  <c r="B25" i="2"/>
  <c r="E24" i="2"/>
  <c r="D24" i="2"/>
  <c r="C24" i="2"/>
  <c r="F24" i="2" s="1"/>
  <c r="B24" i="2"/>
  <c r="E23" i="2"/>
  <c r="D23" i="2"/>
  <c r="C23" i="2"/>
  <c r="F23" i="2" s="1"/>
  <c r="B23" i="2"/>
  <c r="E22" i="2"/>
  <c r="D22" i="2"/>
  <c r="C22" i="2"/>
  <c r="F22" i="2" s="1"/>
  <c r="B22" i="2"/>
  <c r="E21" i="2"/>
  <c r="D21" i="2"/>
  <c r="C21" i="2"/>
  <c r="F21" i="2" s="1"/>
  <c r="B21" i="2"/>
  <c r="E20" i="2"/>
  <c r="D20" i="2"/>
  <c r="C20" i="2"/>
  <c r="F20" i="2" s="1"/>
  <c r="B20" i="2"/>
  <c r="E19" i="2"/>
  <c r="D19" i="2"/>
  <c r="C19" i="2"/>
  <c r="F19" i="2" s="1"/>
  <c r="B19" i="2"/>
  <c r="E18" i="2"/>
  <c r="D18" i="2"/>
  <c r="C18" i="2"/>
  <c r="F18" i="2" s="1"/>
  <c r="B18" i="2"/>
  <c r="E17" i="2"/>
  <c r="D17" i="2"/>
  <c r="C17" i="2"/>
  <c r="F17" i="2" s="1"/>
  <c r="B17" i="2"/>
  <c r="E16" i="2"/>
  <c r="D16" i="2"/>
  <c r="C16" i="2"/>
  <c r="F16" i="2" s="1"/>
  <c r="B16" i="2"/>
  <c r="E15" i="2"/>
  <c r="D15" i="2"/>
  <c r="C15" i="2"/>
  <c r="F15" i="2" s="1"/>
  <c r="G27" i="2" a="1"/>
  <c r="G21" i="2" a="1"/>
  <c r="G17" i="2" a="1"/>
  <c r="G26" i="2" a="1"/>
  <c r="G25" i="2" a="1"/>
  <c r="G19" i="2" a="1"/>
  <c r="G15" i="2" a="1"/>
  <c r="G20" i="2" a="1"/>
  <c r="G23" i="2" a="1"/>
  <c r="G22" i="2" a="1"/>
  <c r="G16" i="2" a="1"/>
  <c r="G24" i="2" a="1"/>
  <c r="G18" i="2" a="1"/>
  <c r="G18" i="2" l="1"/>
  <c r="H18" i="2" s="1"/>
  <c r="I18" i="2" s="1"/>
  <c r="G24" i="2"/>
  <c r="H24" i="2" s="1"/>
  <c r="I24" i="2" s="1"/>
  <c r="G16" i="2"/>
  <c r="H16" i="2" s="1"/>
  <c r="I16" i="2" s="1"/>
  <c r="G22" i="2"/>
  <c r="H22" i="2" s="1"/>
  <c r="I22" i="2" s="1"/>
  <c r="G23" i="2"/>
  <c r="H23" i="2" s="1"/>
  <c r="I23" i="2" s="1"/>
  <c r="G20" i="2"/>
  <c r="H20" i="2" s="1"/>
  <c r="I20" i="2" s="1"/>
  <c r="G15" i="2"/>
  <c r="H15" i="2" s="1"/>
  <c r="I15" i="2" s="1"/>
  <c r="G19" i="2"/>
  <c r="H19" i="2" s="1"/>
  <c r="I19" i="2" s="1"/>
  <c r="G25" i="2"/>
  <c r="H25" i="2" s="1"/>
  <c r="I25" i="2" s="1"/>
  <c r="G26" i="2"/>
  <c r="H26" i="2" s="1"/>
  <c r="I26" i="2" s="1"/>
  <c r="G17" i="2"/>
  <c r="H17" i="2" s="1"/>
  <c r="I17" i="2" s="1"/>
  <c r="G21" i="2"/>
  <c r="H21" i="2" s="1"/>
  <c r="I21" i="2" s="1"/>
  <c r="G27" i="2"/>
  <c r="H27" i="2" s="1"/>
  <c r="I27" i="2" s="1"/>
  <c r="M14" i="2" l="1"/>
  <c r="M16" i="2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<sst xmlns="http://schemas.openxmlformats.org/spreadsheetml/2006/main" count="174" uniqueCount="114">
  <si>
    <t>cm</t>
    <phoneticPr fontId="1" type="noConversion"/>
  </si>
  <si>
    <t>m</t>
    <phoneticPr fontId="1" type="noConversion"/>
  </si>
  <si>
    <t>du</t>
    <phoneticPr fontId="1" type="noConversion"/>
  </si>
  <si>
    <t>r</t>
    <phoneticPr fontId="1" type="noConversion"/>
  </si>
  <si>
    <t>alpfa</t>
    <phoneticPr fontId="1" type="noConversion"/>
  </si>
  <si>
    <t>R</t>
    <phoneticPr fontId="1" type="noConversion"/>
  </si>
  <si>
    <t>L</t>
    <phoneticPr fontId="1" type="noConversion"/>
  </si>
  <si>
    <t>T</t>
    <phoneticPr fontId="1" type="noConversion"/>
  </si>
  <si>
    <t>E</t>
    <phoneticPr fontId="1" type="noConversion"/>
  </si>
  <si>
    <t>折减坡度</t>
    <phoneticPr fontId="1" type="noConversion"/>
  </si>
  <si>
    <t>ix</t>
    <phoneticPr fontId="1" type="noConversion"/>
  </si>
  <si>
    <t>Li</t>
    <phoneticPr fontId="1" type="noConversion"/>
  </si>
  <si>
    <t>i</t>
    <phoneticPr fontId="1" type="noConversion"/>
  </si>
  <si>
    <t>alpha(du)</t>
    <phoneticPr fontId="1" type="noConversion"/>
  </si>
  <si>
    <t>高程计算</t>
    <phoneticPr fontId="1" type="noConversion"/>
  </si>
  <si>
    <t>坡度</t>
    <phoneticPr fontId="1" type="noConversion"/>
  </si>
  <si>
    <t>长度</t>
    <phoneticPr fontId="1" type="noConversion"/>
  </si>
  <si>
    <t>高程</t>
    <phoneticPr fontId="1" type="noConversion"/>
  </si>
  <si>
    <t>方向</t>
    <phoneticPr fontId="1" type="noConversion"/>
  </si>
  <si>
    <t>坡段长度（km）</t>
    <phoneticPr fontId="1" type="noConversion"/>
  </si>
  <si>
    <t>曲线当量坡度</t>
    <phoneticPr fontId="1" type="noConversion"/>
  </si>
  <si>
    <t>隧道当量坡度</t>
    <phoneticPr fontId="1" type="noConversion"/>
  </si>
  <si>
    <t>设计坡度</t>
    <phoneticPr fontId="1" type="noConversion"/>
  </si>
  <si>
    <t>计算坡度</t>
    <phoneticPr fontId="1" type="noConversion"/>
  </si>
  <si>
    <t>均衡速度（限制速度）</t>
    <phoneticPr fontId="1" type="noConversion"/>
  </si>
  <si>
    <t>每公里走行时分</t>
    <phoneticPr fontId="1" type="noConversion"/>
  </si>
  <si>
    <t>该坡道走行时分</t>
    <phoneticPr fontId="1" type="noConversion"/>
  </si>
  <si>
    <t>A-B</t>
    <phoneticPr fontId="1" type="noConversion"/>
  </si>
  <si>
    <t>曲线alpha</t>
    <phoneticPr fontId="1" type="noConversion"/>
  </si>
  <si>
    <t>隧道长度</t>
    <phoneticPr fontId="1" type="noConversion"/>
  </si>
  <si>
    <t>隧道上坡速度</t>
    <phoneticPr fontId="1" type="noConversion"/>
  </si>
  <si>
    <t>B-A</t>
    <phoneticPr fontId="1" type="noConversion"/>
  </si>
  <si>
    <t>TT</t>
    <phoneticPr fontId="1" type="noConversion"/>
  </si>
  <si>
    <t>Tz</t>
    <phoneticPr fontId="1" type="noConversion"/>
  </si>
  <si>
    <t>N</t>
    <phoneticPr fontId="1" type="noConversion"/>
  </si>
  <si>
    <t>Npt</t>
    <phoneticPr fontId="1" type="noConversion"/>
  </si>
  <si>
    <t>Nh</t>
    <phoneticPr fontId="1" type="noConversion"/>
  </si>
  <si>
    <t>C</t>
    <phoneticPr fontId="1" type="noConversion"/>
  </si>
  <si>
    <t>Gj</t>
    <phoneticPr fontId="1" type="noConversion"/>
  </si>
  <si>
    <t>k</t>
    <phoneticPr fontId="1" type="noConversion"/>
  </si>
  <si>
    <t>z</t>
    <phoneticPr fontId="1" type="noConversion"/>
  </si>
  <si>
    <t>l</t>
    <phoneticPr fontId="1" type="noConversion"/>
  </si>
  <si>
    <t>kh</t>
    <phoneticPr fontId="1" type="noConversion"/>
  </si>
  <si>
    <t>n</t>
    <phoneticPr fontId="1" type="noConversion"/>
  </si>
  <si>
    <t>kou</t>
    <phoneticPr fontId="1" type="noConversion"/>
  </si>
  <si>
    <t>man</t>
    <phoneticPr fontId="1" type="noConversion"/>
  </si>
  <si>
    <t>方向</t>
  </si>
  <si>
    <t>坡段长度（km）</t>
  </si>
  <si>
    <t>设计坡度</t>
  </si>
  <si>
    <t>A-B</t>
  </si>
  <si>
    <t>B-A</t>
  </si>
  <si>
    <t>e</t>
    <phoneticPr fontId="1" type="noConversion"/>
  </si>
  <si>
    <t>曲线当量坡度</t>
  </si>
  <si>
    <t>隧道当量坡度</t>
  </si>
  <si>
    <t>计算坡度</t>
  </si>
  <si>
    <t>均衡速度（限制速度）</t>
  </si>
  <si>
    <t>每公里走行时分</t>
  </si>
  <si>
    <t>该坡道走行时分</t>
  </si>
  <si>
    <t>百米标</t>
    <phoneticPr fontId="1" type="noConversion"/>
  </si>
  <si>
    <t>段面积</t>
    <phoneticPr fontId="1" type="noConversion"/>
  </si>
  <si>
    <t>平均面积</t>
    <phoneticPr fontId="1" type="noConversion"/>
  </si>
  <si>
    <t xml:space="preserve">距离 </t>
    <phoneticPr fontId="1" type="noConversion"/>
  </si>
  <si>
    <t>土石方</t>
    <phoneticPr fontId="1" type="noConversion"/>
  </si>
  <si>
    <t>段落小计</t>
    <phoneticPr fontId="1" type="noConversion"/>
  </si>
  <si>
    <t>备注</t>
    <phoneticPr fontId="1" type="noConversion"/>
  </si>
  <si>
    <t>填</t>
    <phoneticPr fontId="1" type="noConversion"/>
  </si>
  <si>
    <t>挖</t>
    <phoneticPr fontId="1" type="noConversion"/>
  </si>
  <si>
    <t>车站</t>
  </si>
  <si>
    <t>车站</t>
    <phoneticPr fontId="1" type="noConversion"/>
  </si>
  <si>
    <t>曲线</t>
  </si>
  <si>
    <t>曲线</t>
    <phoneticPr fontId="1" type="noConversion"/>
  </si>
  <si>
    <t>隧道</t>
    <phoneticPr fontId="1" type="noConversion"/>
  </si>
  <si>
    <t>桥</t>
  </si>
  <si>
    <t>sum</t>
    <phoneticPr fontId="1" type="noConversion"/>
  </si>
  <si>
    <t>H&gt;0</t>
    <phoneticPr fontId="1" type="noConversion"/>
  </si>
  <si>
    <t>H&lt;0</t>
    <phoneticPr fontId="1" type="noConversion"/>
  </si>
  <si>
    <t>序号</t>
    <phoneticPr fontId="1" type="noConversion"/>
  </si>
  <si>
    <t>项目</t>
    <phoneticPr fontId="1" type="noConversion"/>
  </si>
  <si>
    <t>单位</t>
    <phoneticPr fontId="1" type="noConversion"/>
  </si>
  <si>
    <t>数量</t>
    <phoneticPr fontId="1" type="noConversion"/>
  </si>
  <si>
    <t>造价（万元）</t>
    <phoneticPr fontId="1" type="noConversion"/>
  </si>
  <si>
    <t>建筑长度</t>
    <phoneticPr fontId="1" type="noConversion"/>
  </si>
  <si>
    <t>运营长度</t>
    <phoneticPr fontId="1" type="noConversion"/>
  </si>
  <si>
    <t>航空距离</t>
    <phoneticPr fontId="1" type="noConversion"/>
  </si>
  <si>
    <t>展线系数</t>
    <phoneticPr fontId="1" type="noConversion"/>
  </si>
  <si>
    <t>通过能力</t>
    <phoneticPr fontId="1" type="noConversion"/>
  </si>
  <si>
    <t>输送能力</t>
    <phoneticPr fontId="1" type="noConversion"/>
  </si>
  <si>
    <t>最大地段长度（上行/下行）</t>
    <phoneticPr fontId="1" type="noConversion"/>
  </si>
  <si>
    <t>最小曲线半径地段（长度/个数）</t>
    <phoneticPr fontId="1" type="noConversion"/>
  </si>
  <si>
    <t>克服高度总和（上行/下行）</t>
    <phoneticPr fontId="1" type="noConversion"/>
  </si>
  <si>
    <t>土石方工程</t>
    <phoneticPr fontId="1" type="noConversion"/>
  </si>
  <si>
    <t>填方</t>
    <phoneticPr fontId="1" type="noConversion"/>
  </si>
  <si>
    <t>挖方</t>
    <phoneticPr fontId="1" type="noConversion"/>
  </si>
  <si>
    <t>大桥</t>
    <phoneticPr fontId="1" type="noConversion"/>
  </si>
  <si>
    <t>其中最大桥长</t>
    <phoneticPr fontId="1" type="noConversion"/>
  </si>
  <si>
    <t>中桥</t>
    <phoneticPr fontId="1" type="noConversion"/>
  </si>
  <si>
    <t>小桥</t>
    <phoneticPr fontId="1" type="noConversion"/>
  </si>
  <si>
    <t>涵洞</t>
    <phoneticPr fontId="1" type="noConversion"/>
  </si>
  <si>
    <t>其中最大隧道长</t>
    <phoneticPr fontId="1" type="noConversion"/>
  </si>
  <si>
    <t>铁路用地</t>
    <phoneticPr fontId="1" type="noConversion"/>
  </si>
  <si>
    <t>工程总投资</t>
    <phoneticPr fontId="1" type="noConversion"/>
  </si>
  <si>
    <t>年运营费总和</t>
    <phoneticPr fontId="1" type="noConversion"/>
  </si>
  <si>
    <t>年换算工程运营费</t>
    <phoneticPr fontId="1" type="noConversion"/>
  </si>
  <si>
    <t>正线公里</t>
    <phoneticPr fontId="1" type="noConversion"/>
  </si>
  <si>
    <t>公里</t>
    <phoneticPr fontId="1" type="noConversion"/>
  </si>
  <si>
    <t>对/天</t>
    <phoneticPr fontId="1" type="noConversion"/>
  </si>
  <si>
    <t>百万吨/年</t>
    <phoneticPr fontId="1" type="noConversion"/>
  </si>
  <si>
    <t>米/个</t>
    <phoneticPr fontId="1" type="noConversion"/>
  </si>
  <si>
    <t>米</t>
    <phoneticPr fontId="1" type="noConversion"/>
  </si>
  <si>
    <t>万立方米</t>
    <phoneticPr fontId="1" type="noConversion"/>
  </si>
  <si>
    <t>座/延米</t>
    <phoneticPr fontId="1" type="noConversion"/>
  </si>
  <si>
    <t>亩</t>
    <phoneticPr fontId="1" type="noConversion"/>
  </si>
  <si>
    <t>万元</t>
    <phoneticPr fontId="1" type="noConversion"/>
  </si>
  <si>
    <t>万元/年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</si>
</sst>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);[Red]\(0.00\)"/>
    <numFmt numFmtId="177" formatCode="#\+##0"/>
    <numFmt numFmtId="178" formatCode="0_);[Red]\(0\)"/>
  </numFmts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2" fontId="0" fillId="0" borderId="0" xfId="0" applyNumberFormat="1"/>
    <xf numFmtId="0" fontId="2" fillId="2" borderId="1" xfId="0" applyFont="1" applyFill="1" applyBorder="1"/>
    <xf numFmtId="0" fontId="0" fillId="2" borderId="1" xfId="0" applyFill="1" applyBorder="1"/>
    <xf numFmtId="176" fontId="2" fillId="2" borderId="1" xfId="0" applyNumberFormat="1" applyFont="1" applyFill="1" applyBorder="1"/>
    <xf numFmtId="176" fontId="0" fillId="2" borderId="1" xfId="0" applyNumberFormat="1" applyFill="1" applyBorder="1"/>
    <xf numFmtId="176" fontId="0" fillId="0" borderId="0" xfId="0" applyNumberFormat="1"/>
    <xf numFmtId="0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 vertical="center"/>
    </xf>
    <xf numFmtId="177" fontId="0" fillId="0" borderId="0" xfId="0" applyNumberFormat="1"/>
    <xf numFmtId="177" fontId="0" fillId="3" borderId="0" xfId="0" applyNumberFormat="1" applyFill="1"/>
    <xf numFmtId="0" fontId="0" fillId="3" borderId="0" xfId="0" applyFill="1"/>
    <xf numFmtId="176" fontId="0" fillId="3" borderId="0" xfId="0" applyNumberFormat="1" applyFill="1"/>
    <xf numFmtId="0" fontId="0" fillId="3" borderId="0" xfId="0" applyNumberFormat="1" applyFill="1"/>
    <xf numFmtId="2" fontId="0" fillId="3" borderId="0" xfId="0" applyNumberFormat="1" applyFill="1"/>
    <xf numFmtId="178" fontId="0" fillId="0" borderId="0" xfId="0" applyNumberFormat="1"/>
    <xf numFmtId="0" fontId="3" fillId="0" borderId="0" xfId="0" applyFont="1"/>
    <xf numFmtId="0" fontId="2" fillId="2" borderId="1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90"/>
  <sheetViews>
    <sheetView topLeftCell="A7" zoomScale="145" zoomScaleNormal="145" workbookViewId="0">
      <selection activeCell="B4" sqref="B4"/>
    </sheetView>
  </sheetViews>
  <sheetFormatPr defaultRowHeight="14" x14ac:dyDescent="0.3"/>
  <sheetData>
    <row r="1" spans="1:9" x14ac:dyDescent="0.3">
      <c r="A1">
        <v>1300</v>
      </c>
      <c r="C1">
        <f>A1*100/25000</f>
        <v>5.2</v>
      </c>
      <c r="D1" t="s">
        <v>0</v>
      </c>
    </row>
    <row r="2" spans="1:9" x14ac:dyDescent="0.3">
      <c r="A2">
        <v>0.05</v>
      </c>
      <c r="B2" t="s">
        <v>0</v>
      </c>
      <c r="C2">
        <f>A2*25000/100</f>
        <v>12.5</v>
      </c>
      <c r="D2" t="s">
        <v>1</v>
      </c>
    </row>
    <row r="3" spans="1:9" x14ac:dyDescent="0.3">
      <c r="A3" t="s">
        <v>4</v>
      </c>
      <c r="C3" t="s">
        <v>5</v>
      </c>
      <c r="E3" t="s">
        <v>6</v>
      </c>
      <c r="F3" t="s">
        <v>7</v>
      </c>
      <c r="G3" t="s">
        <v>8</v>
      </c>
    </row>
    <row r="4" spans="1:9" x14ac:dyDescent="0.3">
      <c r="A4">
        <v>47</v>
      </c>
      <c r="B4" t="s">
        <v>2</v>
      </c>
      <c r="C4">
        <v>800</v>
      </c>
      <c r="D4" t="s">
        <v>3</v>
      </c>
      <c r="E4">
        <f>2*PI()*C4*A4/360</f>
        <v>656.24379874986801</v>
      </c>
      <c r="F4">
        <f>C4*TAN(A4/2*PI()/180)</f>
        <v>347.84989996874691</v>
      </c>
      <c r="G4">
        <f>C4*(_xlfn.SEC(A4/2*PI()/180)-1)</f>
        <v>72.352883246377075</v>
      </c>
    </row>
    <row r="6" spans="1:9" x14ac:dyDescent="0.3">
      <c r="A6" t="s">
        <v>9</v>
      </c>
    </row>
    <row r="7" spans="1:9" x14ac:dyDescent="0.3">
      <c r="A7" t="s">
        <v>10</v>
      </c>
      <c r="B7" t="s">
        <v>13</v>
      </c>
      <c r="C7" t="s">
        <v>11</v>
      </c>
      <c r="D7" t="s">
        <v>12</v>
      </c>
      <c r="G7" t="s">
        <v>14</v>
      </c>
    </row>
    <row r="8" spans="1:9" x14ac:dyDescent="0.3">
      <c r="A8">
        <v>12</v>
      </c>
      <c r="B8">
        <v>47</v>
      </c>
      <c r="C8">
        <v>850</v>
      </c>
      <c r="D8">
        <f>A8-10.5*B8/C8</f>
        <v>11.419411764705883</v>
      </c>
      <c r="G8" t="s">
        <v>15</v>
      </c>
      <c r="H8" t="s">
        <v>16</v>
      </c>
      <c r="I8" t="s">
        <v>17</v>
      </c>
    </row>
    <row r="9" spans="1:9" x14ac:dyDescent="0.3">
      <c r="G9">
        <v>0</v>
      </c>
      <c r="H9">
        <v>650</v>
      </c>
      <c r="I9">
        <v>36</v>
      </c>
    </row>
    <row r="10" spans="1:9" x14ac:dyDescent="0.3">
      <c r="G10">
        <v>11.6</v>
      </c>
      <c r="H10">
        <v>500</v>
      </c>
      <c r="I10" s="1">
        <f t="shared" ref="I10:I21" si="0">I9+H10/1000*G10</f>
        <v>41.8</v>
      </c>
    </row>
    <row r="11" spans="1:9" x14ac:dyDescent="0.3">
      <c r="C11" s="7"/>
      <c r="G11">
        <v>12</v>
      </c>
      <c r="H11">
        <v>700</v>
      </c>
      <c r="I11" s="1">
        <f t="shared" si="0"/>
        <v>50.199999999999996</v>
      </c>
    </row>
    <row r="12" spans="1:9" x14ac:dyDescent="0.3">
      <c r="A12">
        <v>0</v>
      </c>
      <c r="B12" t="b">
        <f>路肩高程!B3=cal_lujian(A12,36,H$9:H$21,G$9:G$21)</f>
        <v>1</v>
      </c>
      <c r="C12" s="7"/>
      <c r="G12">
        <v>11.5</v>
      </c>
      <c r="H12">
        <v>650</v>
      </c>
      <c r="I12" s="1">
        <f t="shared" si="0"/>
        <v>57.674999999999997</v>
      </c>
    </row>
    <row r="13" spans="1:9" x14ac:dyDescent="0.3">
      <c r="A13">
        <v>200</v>
      </c>
      <c r="B13">
        <f t="shared" ref="B13:B18" si="1">cal_lujian(A13,36,H$9:H$21,G$9:G$21)</f>
        <v>36</v>
      </c>
      <c r="C13" s="7"/>
      <c r="G13">
        <v>11.3</v>
      </c>
      <c r="H13">
        <v>850</v>
      </c>
      <c r="I13" s="1">
        <f t="shared" si="0"/>
        <v>67.28</v>
      </c>
    </row>
    <row r="14" spans="1:9" x14ac:dyDescent="0.3">
      <c r="A14">
        <v>400</v>
      </c>
      <c r="B14">
        <f t="shared" si="1"/>
        <v>36</v>
      </c>
      <c r="C14" s="7"/>
      <c r="G14">
        <v>6</v>
      </c>
      <c r="H14">
        <v>900</v>
      </c>
      <c r="I14" s="1">
        <f t="shared" si="0"/>
        <v>72.680000000000007</v>
      </c>
    </row>
    <row r="15" spans="1:9" x14ac:dyDescent="0.3">
      <c r="A15">
        <v>650</v>
      </c>
      <c r="B15">
        <f t="shared" si="1"/>
        <v>36</v>
      </c>
      <c r="C15" s="7"/>
      <c r="G15">
        <v>-8</v>
      </c>
      <c r="H15">
        <v>1500</v>
      </c>
      <c r="I15" s="1">
        <f t="shared" si="0"/>
        <v>60.680000000000007</v>
      </c>
    </row>
    <row r="16" spans="1:9" x14ac:dyDescent="0.3">
      <c r="A16" s="10">
        <v>700</v>
      </c>
      <c r="B16">
        <f t="shared" si="1"/>
        <v>36.58</v>
      </c>
      <c r="C16" s="7"/>
      <c r="G16">
        <v>-9</v>
      </c>
      <c r="H16">
        <v>1250</v>
      </c>
      <c r="I16" s="1">
        <f t="shared" si="0"/>
        <v>49.430000000000007</v>
      </c>
    </row>
    <row r="17" spans="1:9" x14ac:dyDescent="0.3">
      <c r="A17" s="10">
        <v>1150</v>
      </c>
      <c r="B17">
        <f t="shared" si="1"/>
        <v>41.8</v>
      </c>
      <c r="C17" s="7"/>
      <c r="G17">
        <v>-6</v>
      </c>
      <c r="H17">
        <v>500</v>
      </c>
      <c r="I17" s="1">
        <f t="shared" si="0"/>
        <v>46.430000000000007</v>
      </c>
    </row>
    <row r="18" spans="1:9" x14ac:dyDescent="0.3">
      <c r="A18" s="10"/>
      <c r="B18" t="str">
        <f t="shared" si="1"/>
        <v>TypeError: '&lt;=' not supported between instances of 'int' and 'Non
    if sum_&lt;=d&lt;=sum_+langs[i]:
  File "d:\desktop\鏂板缓microsoft excel 宸ヤ綔琛?py", line 54, in cal_lujian
    return ToVariant(obj(*pargs, **kwargs))
  File "D:\Desktop\xlpython\xlpyserver.py", line 175, in Call
    return func(*args)
  File "C:\Users\Administrator\AppData\Local\Programs\Python\Python38\lib\site-packages\win32com\server\policy.py", line 586, in _invokeex_
    return S_OK, -1, self._invokeex_(dispid, lcid, wFlags, args, None, None)
  File "C:\Users\Administrator\AppData\Local\Programs\Python\Python38\lib\site-packages\win32com\server\policy.py", line 283, in _invoke_
    return self._invoke_(dispid, lcid, wFlags, args)
  File "C:\Users\Administrator\AppData\Local\Programs\Python\Python38\lib\site-packages\win32com\server\policy.py", line 278, in _Invoke_</v>
      </c>
      <c r="C18" s="7"/>
      <c r="G18">
        <v>-2</v>
      </c>
      <c r="H18">
        <v>600</v>
      </c>
      <c r="I18" s="1">
        <f t="shared" si="0"/>
        <v>45.230000000000004</v>
      </c>
    </row>
    <row r="19" spans="1:9" x14ac:dyDescent="0.3">
      <c r="A19" s="10"/>
      <c r="C19" s="7"/>
      <c r="G19">
        <v>9</v>
      </c>
      <c r="H19">
        <v>1300</v>
      </c>
      <c r="I19" s="1">
        <f t="shared" si="0"/>
        <v>56.930000000000007</v>
      </c>
    </row>
    <row r="20" spans="1:9" x14ac:dyDescent="0.3">
      <c r="A20" s="10"/>
      <c r="G20">
        <v>-4</v>
      </c>
      <c r="H20">
        <v>1850</v>
      </c>
      <c r="I20" s="1">
        <f t="shared" si="0"/>
        <v>49.530000000000008</v>
      </c>
    </row>
    <row r="21" spans="1:9" x14ac:dyDescent="0.3">
      <c r="A21" s="10"/>
      <c r="G21">
        <v>0</v>
      </c>
      <c r="H21">
        <v>1250</v>
      </c>
      <c r="I21" s="1">
        <f t="shared" si="0"/>
        <v>49.530000000000008</v>
      </c>
    </row>
    <row r="22" spans="1:9" x14ac:dyDescent="0.3">
      <c r="A22" s="10"/>
      <c r="I22" s="1"/>
    </row>
    <row r="23" spans="1:9" x14ac:dyDescent="0.3">
      <c r="A23" s="10"/>
      <c r="I23" s="1"/>
    </row>
    <row r="24" spans="1:9" x14ac:dyDescent="0.3">
      <c r="A24" s="10"/>
      <c r="I24" s="1"/>
    </row>
    <row r="25" spans="1:9" x14ac:dyDescent="0.3">
      <c r="A25" s="10"/>
      <c r="I25" s="1"/>
    </row>
    <row r="26" spans="1:9" x14ac:dyDescent="0.3">
      <c r="A26" s="10"/>
    </row>
    <row r="27" spans="1:9" x14ac:dyDescent="0.3">
      <c r="A27" s="10"/>
    </row>
    <row r="28" spans="1:9" x14ac:dyDescent="0.3">
      <c r="A28" s="10"/>
    </row>
    <row r="29" spans="1:9" x14ac:dyDescent="0.3">
      <c r="A29" s="10"/>
    </row>
    <row r="30" spans="1:9" x14ac:dyDescent="0.3">
      <c r="A30" s="10"/>
    </row>
    <row r="31" spans="1:9" x14ac:dyDescent="0.3">
      <c r="A31" s="10"/>
    </row>
    <row r="32" spans="1:9" x14ac:dyDescent="0.3">
      <c r="A32" s="10"/>
    </row>
    <row r="33" spans="1:1" x14ac:dyDescent="0.3">
      <c r="A33" s="10"/>
    </row>
    <row r="34" spans="1:1" x14ac:dyDescent="0.3">
      <c r="A34" s="10"/>
    </row>
    <row r="35" spans="1:1" x14ac:dyDescent="0.3">
      <c r="A35" s="10"/>
    </row>
    <row r="36" spans="1:1" x14ac:dyDescent="0.3">
      <c r="A36" s="10"/>
    </row>
    <row r="37" spans="1:1" x14ac:dyDescent="0.3">
      <c r="A37" s="10"/>
    </row>
    <row r="38" spans="1:1" x14ac:dyDescent="0.3">
      <c r="A38" s="10"/>
    </row>
    <row r="39" spans="1:1" x14ac:dyDescent="0.3">
      <c r="A39" s="10"/>
    </row>
    <row r="40" spans="1:1" x14ac:dyDescent="0.3">
      <c r="A40" s="10"/>
    </row>
    <row r="41" spans="1:1" x14ac:dyDescent="0.3">
      <c r="A41" s="10"/>
    </row>
    <row r="42" spans="1:1" x14ac:dyDescent="0.3">
      <c r="A42" s="10"/>
    </row>
    <row r="43" spans="1:1" x14ac:dyDescent="0.3">
      <c r="A43" s="10"/>
    </row>
    <row r="44" spans="1:1" x14ac:dyDescent="0.3">
      <c r="A44" s="10"/>
    </row>
    <row r="45" spans="1:1" x14ac:dyDescent="0.3">
      <c r="A45" s="10"/>
    </row>
    <row r="46" spans="1:1" x14ac:dyDescent="0.3">
      <c r="A46" s="10"/>
    </row>
    <row r="47" spans="1:1" x14ac:dyDescent="0.3">
      <c r="A47" s="10"/>
    </row>
    <row r="48" spans="1:1" x14ac:dyDescent="0.3">
      <c r="A48" s="10"/>
    </row>
    <row r="49" spans="1:1" x14ac:dyDescent="0.3">
      <c r="A49" s="10"/>
    </row>
    <row r="50" spans="1:1" x14ac:dyDescent="0.3">
      <c r="A50" s="10"/>
    </row>
    <row r="51" spans="1:1" x14ac:dyDescent="0.3">
      <c r="A51" s="10"/>
    </row>
    <row r="52" spans="1:1" x14ac:dyDescent="0.3">
      <c r="A52" s="10"/>
    </row>
    <row r="53" spans="1:1" x14ac:dyDescent="0.3">
      <c r="A53" s="10"/>
    </row>
    <row r="54" spans="1:1" x14ac:dyDescent="0.3">
      <c r="A54" s="10"/>
    </row>
    <row r="55" spans="1:1" x14ac:dyDescent="0.3">
      <c r="A55" s="10"/>
    </row>
    <row r="56" spans="1:1" x14ac:dyDescent="0.3">
      <c r="A56" s="10"/>
    </row>
    <row r="57" spans="1:1" x14ac:dyDescent="0.3">
      <c r="A57" s="10"/>
    </row>
    <row r="58" spans="1:1" x14ac:dyDescent="0.3">
      <c r="A58" s="10"/>
    </row>
    <row r="59" spans="1:1" x14ac:dyDescent="0.3">
      <c r="A59" s="10"/>
    </row>
    <row r="60" spans="1:1" x14ac:dyDescent="0.3">
      <c r="A60" s="10"/>
    </row>
    <row r="61" spans="1:1" x14ac:dyDescent="0.3">
      <c r="A61" s="10"/>
    </row>
    <row r="62" spans="1:1" x14ac:dyDescent="0.3">
      <c r="A62" s="10"/>
    </row>
    <row r="63" spans="1:1" x14ac:dyDescent="0.3">
      <c r="A63" s="10"/>
    </row>
    <row r="64" spans="1:1" x14ac:dyDescent="0.3">
      <c r="A64" s="10"/>
    </row>
    <row r="65" spans="1:1" x14ac:dyDescent="0.3">
      <c r="A65" s="10"/>
    </row>
    <row r="66" spans="1:1" x14ac:dyDescent="0.3">
      <c r="A66" s="10"/>
    </row>
    <row r="67" spans="1:1" x14ac:dyDescent="0.3">
      <c r="A67" s="10"/>
    </row>
    <row r="68" spans="1:1" x14ac:dyDescent="0.3">
      <c r="A68" s="10"/>
    </row>
    <row r="69" spans="1:1" x14ac:dyDescent="0.3">
      <c r="A69" s="10"/>
    </row>
    <row r="70" spans="1:1" x14ac:dyDescent="0.3">
      <c r="A70" s="10"/>
    </row>
    <row r="71" spans="1:1" x14ac:dyDescent="0.3">
      <c r="A71" s="10"/>
    </row>
    <row r="72" spans="1:1" x14ac:dyDescent="0.3">
      <c r="A72" s="10"/>
    </row>
    <row r="73" spans="1:1" x14ac:dyDescent="0.3">
      <c r="A73" s="10"/>
    </row>
    <row r="74" spans="1:1" x14ac:dyDescent="0.3">
      <c r="A74" s="10"/>
    </row>
    <row r="75" spans="1:1" x14ac:dyDescent="0.3">
      <c r="A75" s="10"/>
    </row>
    <row r="76" spans="1:1" x14ac:dyDescent="0.3">
      <c r="A76" s="10"/>
    </row>
    <row r="77" spans="1:1" x14ac:dyDescent="0.3">
      <c r="A77" s="10"/>
    </row>
    <row r="78" spans="1:1" x14ac:dyDescent="0.3">
      <c r="A78" s="10"/>
    </row>
    <row r="79" spans="1:1" x14ac:dyDescent="0.3">
      <c r="A79" s="10"/>
    </row>
    <row r="80" spans="1:1" x14ac:dyDescent="0.3">
      <c r="A80" s="10"/>
    </row>
    <row r="81" spans="1:1" x14ac:dyDescent="0.3">
      <c r="A81" s="10"/>
    </row>
    <row r="82" spans="1:1" x14ac:dyDescent="0.3">
      <c r="A82" s="10"/>
    </row>
    <row r="83" spans="1:1" x14ac:dyDescent="0.3">
      <c r="A83" s="10"/>
    </row>
    <row r="84" spans="1:1" x14ac:dyDescent="0.3">
      <c r="A84" s="10"/>
    </row>
    <row r="85" spans="1:1" x14ac:dyDescent="0.3">
      <c r="A85" s="10"/>
    </row>
    <row r="86" spans="1:1" x14ac:dyDescent="0.3">
      <c r="A86" s="10"/>
    </row>
    <row r="87" spans="1:1" x14ac:dyDescent="0.3">
      <c r="A87" s="10"/>
    </row>
    <row r="88" spans="1:1" x14ac:dyDescent="0.3">
      <c r="A88" s="10"/>
    </row>
    <row r="89" spans="1:1" x14ac:dyDescent="0.3">
      <c r="A89" s="10"/>
    </row>
    <row r="90" spans="1:1" x14ac:dyDescent="0.3">
      <c r="A90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9FAD4-50C1-490F-A066-CB11DB8ED0F0}">
  <sheetPr codeName="Sheet7"/>
  <dimension ref="A1:H74"/>
  <sheetViews>
    <sheetView tabSelected="1" topLeftCell="A57" zoomScale="145" zoomScaleNormal="145" workbookViewId="0">
      <selection activeCell="B72" sqref="B72"/>
    </sheetView>
  </sheetViews>
  <sheetFormatPr defaultRowHeight="14" x14ac:dyDescent="0.3"/>
  <cols>
    <col min="2" max="2" width="8.6640625" style="6"/>
  </cols>
  <sheetData>
    <row r="1" spans="1:8" x14ac:dyDescent="0.3">
      <c r="A1" s="23" t="s">
        <v>58</v>
      </c>
      <c r="F1" t="s">
        <v>14</v>
      </c>
    </row>
    <row r="2" spans="1:8" x14ac:dyDescent="0.3">
      <c r="A2" s="23"/>
      <c r="F2" t="s">
        <v>15</v>
      </c>
      <c r="G2" t="s">
        <v>16</v>
      </c>
      <c r="H2" t="s">
        <v>17</v>
      </c>
    </row>
    <row r="3" spans="1:8" x14ac:dyDescent="0.3">
      <c r="A3" s="10">
        <v>1000</v>
      </c>
      <c r="B3" s="6">
        <f>cal_lujian(A3-1000,36,G$3:G$15,F$3:F$15)</f>
        <v>36</v>
      </c>
      <c r="F3">
        <v>0</v>
      </c>
      <c r="G3">
        <v>650</v>
      </c>
      <c r="H3">
        <v>36</v>
      </c>
    </row>
    <row r="4" spans="1:8" x14ac:dyDescent="0.3">
      <c r="A4" s="10">
        <v>1200</v>
      </c>
      <c r="B4" s="6">
        <f t="shared" ref="B4:B74" si="0">cal_lujian(A4-1000,36,G$3:G$15,F$3:F$15)</f>
        <v>36</v>
      </c>
      <c r="F4">
        <v>11.6</v>
      </c>
      <c r="G4">
        <v>500</v>
      </c>
      <c r="H4" s="1">
        <f t="shared" ref="H4:H15" si="1">H3+G4/1000*F4</f>
        <v>41.8</v>
      </c>
    </row>
    <row r="5" spans="1:8" x14ac:dyDescent="0.3">
      <c r="A5" s="10">
        <v>1400</v>
      </c>
      <c r="B5" s="6">
        <f t="shared" si="0"/>
        <v>36</v>
      </c>
      <c r="F5">
        <v>12</v>
      </c>
      <c r="G5">
        <v>700</v>
      </c>
      <c r="H5" s="1">
        <f t="shared" si="1"/>
        <v>50.199999999999996</v>
      </c>
    </row>
    <row r="6" spans="1:8" x14ac:dyDescent="0.3">
      <c r="A6" s="10">
        <v>1525</v>
      </c>
      <c r="B6" s="6">
        <f t="shared" si="0"/>
        <v>36</v>
      </c>
      <c r="F6">
        <v>11.5</v>
      </c>
      <c r="G6">
        <v>650</v>
      </c>
      <c r="H6" s="1">
        <f t="shared" si="1"/>
        <v>57.674999999999997</v>
      </c>
    </row>
    <row r="7" spans="1:8" x14ac:dyDescent="0.3">
      <c r="A7" s="10">
        <v>1600</v>
      </c>
      <c r="B7" s="6">
        <f t="shared" si="0"/>
        <v>36</v>
      </c>
      <c r="F7">
        <v>11.3</v>
      </c>
      <c r="G7">
        <v>850</v>
      </c>
      <c r="H7" s="1">
        <f t="shared" si="1"/>
        <v>67.28</v>
      </c>
    </row>
    <row r="8" spans="1:8" x14ac:dyDescent="0.3">
      <c r="A8" s="10">
        <v>1800</v>
      </c>
      <c r="B8" s="6">
        <f t="shared" si="0"/>
        <v>37.74</v>
      </c>
      <c r="F8">
        <v>6</v>
      </c>
      <c r="G8">
        <v>900</v>
      </c>
      <c r="H8" s="1">
        <f t="shared" si="1"/>
        <v>72.680000000000007</v>
      </c>
    </row>
    <row r="9" spans="1:8" x14ac:dyDescent="0.3">
      <c r="A9" s="10">
        <v>2000</v>
      </c>
      <c r="B9" s="6">
        <f t="shared" si="0"/>
        <v>40.06</v>
      </c>
      <c r="F9">
        <v>-8</v>
      </c>
      <c r="G9">
        <v>1500</v>
      </c>
      <c r="H9" s="1">
        <f t="shared" si="1"/>
        <v>60.680000000000007</v>
      </c>
    </row>
    <row r="10" spans="1:8" x14ac:dyDescent="0.3">
      <c r="A10" s="10">
        <v>2150</v>
      </c>
      <c r="B10" s="6">
        <f t="shared" si="0"/>
        <v>41.8</v>
      </c>
      <c r="F10">
        <v>-9</v>
      </c>
      <c r="G10">
        <v>1250</v>
      </c>
      <c r="H10" s="1">
        <f t="shared" si="1"/>
        <v>49.430000000000007</v>
      </c>
    </row>
    <row r="11" spans="1:8" x14ac:dyDescent="0.3">
      <c r="A11" s="10">
        <v>2200</v>
      </c>
      <c r="B11" s="6">
        <f t="shared" si="0"/>
        <v>42.4</v>
      </c>
      <c r="F11">
        <v>-6</v>
      </c>
      <c r="G11">
        <v>500</v>
      </c>
      <c r="H11" s="1">
        <f t="shared" si="1"/>
        <v>46.430000000000007</v>
      </c>
    </row>
    <row r="12" spans="1:8" x14ac:dyDescent="0.3">
      <c r="A12" s="10">
        <v>2400</v>
      </c>
      <c r="B12" s="6">
        <f t="shared" si="0"/>
        <v>44.8</v>
      </c>
      <c r="F12">
        <v>-2</v>
      </c>
      <c r="G12">
        <v>600</v>
      </c>
      <c r="H12" s="1">
        <f t="shared" si="1"/>
        <v>45.230000000000004</v>
      </c>
    </row>
    <row r="13" spans="1:8" x14ac:dyDescent="0.3">
      <c r="A13" s="10">
        <v>2500</v>
      </c>
      <c r="B13" s="6">
        <f t="shared" si="0"/>
        <v>46</v>
      </c>
      <c r="F13">
        <v>9</v>
      </c>
      <c r="G13">
        <v>1300</v>
      </c>
      <c r="H13" s="1">
        <f t="shared" si="1"/>
        <v>56.930000000000007</v>
      </c>
    </row>
    <row r="14" spans="1:8" x14ac:dyDescent="0.3">
      <c r="A14" s="10">
        <v>2600</v>
      </c>
      <c r="B14" s="6">
        <f t="shared" si="0"/>
        <v>47.199999999999996</v>
      </c>
      <c r="F14">
        <v>-4</v>
      </c>
      <c r="G14">
        <v>1850</v>
      </c>
      <c r="H14" s="1">
        <f t="shared" si="1"/>
        <v>49.530000000000008</v>
      </c>
    </row>
    <row r="15" spans="1:8" x14ac:dyDescent="0.3">
      <c r="A15" s="10">
        <v>2800</v>
      </c>
      <c r="B15" s="6">
        <f t="shared" si="0"/>
        <v>49.599999999999994</v>
      </c>
      <c r="F15">
        <v>0</v>
      </c>
      <c r="G15">
        <v>1250</v>
      </c>
      <c r="H15" s="1">
        <f t="shared" si="1"/>
        <v>49.530000000000008</v>
      </c>
    </row>
    <row r="16" spans="1:8" x14ac:dyDescent="0.3">
      <c r="A16" s="10">
        <v>2925</v>
      </c>
      <c r="B16" s="6">
        <f t="shared" si="0"/>
        <v>51.062499999999993</v>
      </c>
    </row>
    <row r="17" spans="1:2" x14ac:dyDescent="0.3">
      <c r="A17" s="10">
        <v>3000</v>
      </c>
      <c r="B17" s="6">
        <f t="shared" si="0"/>
        <v>51.924999999999997</v>
      </c>
    </row>
    <row r="18" spans="1:2" x14ac:dyDescent="0.3">
      <c r="A18" s="10">
        <v>3200</v>
      </c>
      <c r="B18" s="6">
        <f t="shared" si="0"/>
        <v>54.224999999999994</v>
      </c>
    </row>
    <row r="19" spans="1:2" x14ac:dyDescent="0.3">
      <c r="A19" s="10">
        <v>3400</v>
      </c>
      <c r="B19" s="6">
        <f t="shared" si="0"/>
        <v>56.524999999999999</v>
      </c>
    </row>
    <row r="20" spans="1:2" x14ac:dyDescent="0.3">
      <c r="A20" s="10">
        <v>3600</v>
      </c>
      <c r="B20" s="6">
        <f t="shared" si="0"/>
        <v>58.805</v>
      </c>
    </row>
    <row r="21" spans="1:2" x14ac:dyDescent="0.3">
      <c r="A21" s="10">
        <v>3800</v>
      </c>
      <c r="B21" s="6">
        <f t="shared" si="0"/>
        <v>61.064999999999998</v>
      </c>
    </row>
    <row r="22" spans="1:2" x14ac:dyDescent="0.3">
      <c r="A22" s="10">
        <v>4000</v>
      </c>
      <c r="B22" s="6">
        <f t="shared" si="0"/>
        <v>63.324999999999996</v>
      </c>
    </row>
    <row r="23" spans="1:2" x14ac:dyDescent="0.3">
      <c r="A23" s="11">
        <v>4200</v>
      </c>
      <c r="B23" s="6">
        <f t="shared" si="0"/>
        <v>65.584999999999994</v>
      </c>
    </row>
    <row r="24" spans="1:2" x14ac:dyDescent="0.3">
      <c r="A24" s="10">
        <v>4400</v>
      </c>
      <c r="B24" s="6">
        <f t="shared" si="0"/>
        <v>67.58</v>
      </c>
    </row>
    <row r="25" spans="1:2" x14ac:dyDescent="0.3">
      <c r="A25" s="11">
        <v>4600</v>
      </c>
      <c r="B25" s="6">
        <f t="shared" si="0"/>
        <v>68.78</v>
      </c>
    </row>
    <row r="26" spans="1:2" x14ac:dyDescent="0.3">
      <c r="A26" s="10">
        <v>4800</v>
      </c>
      <c r="B26" s="6">
        <f t="shared" si="0"/>
        <v>69.98</v>
      </c>
    </row>
    <row r="27" spans="1:2" x14ac:dyDescent="0.3">
      <c r="A27" s="11">
        <v>5000</v>
      </c>
      <c r="B27" s="6">
        <f t="shared" si="0"/>
        <v>71.180000000000007</v>
      </c>
    </row>
    <row r="28" spans="1:2" x14ac:dyDescent="0.3">
      <c r="A28" s="10">
        <v>5200</v>
      </c>
      <c r="B28" s="6">
        <f t="shared" si="0"/>
        <v>72.38</v>
      </c>
    </row>
    <row r="29" spans="1:2" x14ac:dyDescent="0.3">
      <c r="A29" s="11">
        <v>5400</v>
      </c>
      <c r="B29" s="6">
        <f t="shared" si="0"/>
        <v>71.48</v>
      </c>
    </row>
    <row r="30" spans="1:2" x14ac:dyDescent="0.3">
      <c r="A30" s="10">
        <v>5600</v>
      </c>
      <c r="B30" s="6">
        <f t="shared" si="0"/>
        <v>69.88000000000001</v>
      </c>
    </row>
    <row r="31" spans="1:2" x14ac:dyDescent="0.3">
      <c r="A31" s="11">
        <v>5800</v>
      </c>
      <c r="B31" s="6">
        <f t="shared" si="0"/>
        <v>68.28</v>
      </c>
    </row>
    <row r="32" spans="1:2" x14ac:dyDescent="0.3">
      <c r="A32" s="10">
        <v>6000</v>
      </c>
      <c r="B32" s="6">
        <f t="shared" si="0"/>
        <v>66.680000000000007</v>
      </c>
    </row>
    <row r="33" spans="1:2" x14ac:dyDescent="0.3">
      <c r="A33" s="11">
        <v>6200</v>
      </c>
      <c r="B33" s="6">
        <f t="shared" si="0"/>
        <v>65.080000000000013</v>
      </c>
    </row>
    <row r="34" spans="1:2" x14ac:dyDescent="0.3">
      <c r="A34" s="10">
        <v>6400</v>
      </c>
      <c r="B34" s="6">
        <f t="shared" si="0"/>
        <v>63.480000000000004</v>
      </c>
    </row>
    <row r="35" spans="1:2" x14ac:dyDescent="0.3">
      <c r="A35" s="10">
        <v>6600</v>
      </c>
      <c r="B35" s="6">
        <f t="shared" si="0"/>
        <v>61.88000000000001</v>
      </c>
    </row>
    <row r="36" spans="1:2" x14ac:dyDescent="0.3">
      <c r="A36" s="10">
        <v>6800</v>
      </c>
      <c r="B36" s="6">
        <f t="shared" si="0"/>
        <v>60.230000000000004</v>
      </c>
    </row>
    <row r="37" spans="1:2" x14ac:dyDescent="0.3">
      <c r="A37" s="10">
        <v>7000</v>
      </c>
      <c r="B37" s="6">
        <f t="shared" si="0"/>
        <v>58.430000000000007</v>
      </c>
    </row>
    <row r="38" spans="1:2" x14ac:dyDescent="0.3">
      <c r="A38" s="10">
        <v>7200</v>
      </c>
      <c r="B38" s="6">
        <f t="shared" si="0"/>
        <v>56.63000000000001</v>
      </c>
    </row>
    <row r="39" spans="1:2" x14ac:dyDescent="0.3">
      <c r="A39" s="10">
        <v>7400</v>
      </c>
      <c r="B39" s="6">
        <f t="shared" si="0"/>
        <v>54.830000000000005</v>
      </c>
    </row>
    <row r="40" spans="1:2" x14ac:dyDescent="0.3">
      <c r="A40" s="10">
        <v>7600</v>
      </c>
      <c r="B40" s="6">
        <f t="shared" si="0"/>
        <v>53.030000000000008</v>
      </c>
    </row>
    <row r="41" spans="1:2" x14ac:dyDescent="0.3">
      <c r="A41" s="10">
        <v>7800</v>
      </c>
      <c r="B41" s="6">
        <f t="shared" si="0"/>
        <v>51.230000000000004</v>
      </c>
    </row>
    <row r="42" spans="1:2" x14ac:dyDescent="0.3">
      <c r="A42" s="10">
        <v>8000</v>
      </c>
      <c r="B42" s="6">
        <f t="shared" si="0"/>
        <v>49.430000000000007</v>
      </c>
    </row>
    <row r="43" spans="1:2" x14ac:dyDescent="0.3">
      <c r="A43" s="10">
        <v>8200</v>
      </c>
      <c r="B43" s="6">
        <f t="shared" si="0"/>
        <v>48.230000000000004</v>
      </c>
    </row>
    <row r="44" spans="1:2" x14ac:dyDescent="0.3">
      <c r="A44" s="10">
        <v>8325</v>
      </c>
      <c r="B44" s="6">
        <f t="shared" si="0"/>
        <v>47.480000000000004</v>
      </c>
    </row>
    <row r="45" spans="1:2" x14ac:dyDescent="0.3">
      <c r="A45" s="10">
        <v>8400</v>
      </c>
      <c r="B45" s="6">
        <f t="shared" si="0"/>
        <v>47.030000000000008</v>
      </c>
    </row>
    <row r="46" spans="1:2" x14ac:dyDescent="0.3">
      <c r="A46" s="10">
        <v>8450</v>
      </c>
      <c r="B46" s="6">
        <f t="shared" si="0"/>
        <v>46.730000000000004</v>
      </c>
    </row>
    <row r="47" spans="1:2" x14ac:dyDescent="0.3">
      <c r="A47" s="10">
        <v>8600</v>
      </c>
      <c r="B47" s="6">
        <f t="shared" si="0"/>
        <v>46.230000000000004</v>
      </c>
    </row>
    <row r="48" spans="1:2" x14ac:dyDescent="0.3">
      <c r="A48" s="10">
        <v>8800</v>
      </c>
      <c r="B48" s="6">
        <f t="shared" si="0"/>
        <v>45.830000000000005</v>
      </c>
    </row>
    <row r="49" spans="1:2" x14ac:dyDescent="0.3">
      <c r="A49" s="10">
        <v>9000</v>
      </c>
      <c r="B49" s="6">
        <f t="shared" si="0"/>
        <v>45.430000000000007</v>
      </c>
    </row>
    <row r="50" spans="1:2" x14ac:dyDescent="0.3">
      <c r="A50" s="10">
        <v>9200</v>
      </c>
      <c r="B50" s="6">
        <f t="shared" si="0"/>
        <v>46.13</v>
      </c>
    </row>
    <row r="51" spans="1:2" x14ac:dyDescent="0.3">
      <c r="A51" s="10">
        <v>9400</v>
      </c>
      <c r="B51" s="6">
        <f t="shared" si="0"/>
        <v>47.930000000000007</v>
      </c>
    </row>
    <row r="52" spans="1:2" x14ac:dyDescent="0.3">
      <c r="A52" s="10">
        <v>9600</v>
      </c>
      <c r="B52" s="6">
        <f t="shared" si="0"/>
        <v>49.730000000000004</v>
      </c>
    </row>
    <row r="53" spans="1:2" x14ac:dyDescent="0.3">
      <c r="A53" s="10">
        <v>9800</v>
      </c>
      <c r="B53" s="6">
        <f t="shared" si="0"/>
        <v>51.53</v>
      </c>
    </row>
    <row r="54" spans="1:2" x14ac:dyDescent="0.3">
      <c r="A54" s="10">
        <v>10000</v>
      </c>
      <c r="B54" s="6">
        <f t="shared" si="0"/>
        <v>53.330000000000005</v>
      </c>
    </row>
    <row r="55" spans="1:2" x14ac:dyDescent="0.3">
      <c r="A55" s="10">
        <v>10200</v>
      </c>
      <c r="B55" s="6">
        <f t="shared" si="0"/>
        <v>55.13</v>
      </c>
    </row>
    <row r="56" spans="1:2" x14ac:dyDescent="0.3">
      <c r="A56" s="11">
        <v>10400</v>
      </c>
      <c r="B56" s="6">
        <f t="shared" si="0"/>
        <v>56.930000000000007</v>
      </c>
    </row>
    <row r="57" spans="1:2" x14ac:dyDescent="0.3">
      <c r="A57" s="10">
        <v>10600</v>
      </c>
      <c r="B57" s="6">
        <f t="shared" si="0"/>
        <v>56.13000000000001</v>
      </c>
    </row>
    <row r="58" spans="1:2" x14ac:dyDescent="0.3">
      <c r="A58" s="10">
        <v>10800</v>
      </c>
      <c r="B58" s="6">
        <f t="shared" si="0"/>
        <v>55.330000000000005</v>
      </c>
    </row>
    <row r="59" spans="1:2" x14ac:dyDescent="0.3">
      <c r="A59" s="10">
        <v>11000</v>
      </c>
      <c r="B59" s="6">
        <f t="shared" si="0"/>
        <v>54.530000000000008</v>
      </c>
    </row>
    <row r="60" spans="1:2" x14ac:dyDescent="0.3">
      <c r="A60" s="10">
        <v>11200</v>
      </c>
      <c r="B60" s="6">
        <f t="shared" si="0"/>
        <v>53.730000000000004</v>
      </c>
    </row>
    <row r="61" spans="1:2" x14ac:dyDescent="0.3">
      <c r="A61" s="10">
        <v>11400</v>
      </c>
      <c r="B61" s="6">
        <f t="shared" si="0"/>
        <v>52.930000000000007</v>
      </c>
    </row>
    <row r="62" spans="1:2" x14ac:dyDescent="0.3">
      <c r="A62" s="10">
        <v>11600</v>
      </c>
      <c r="B62" s="6">
        <f t="shared" si="0"/>
        <v>52.13000000000001</v>
      </c>
    </row>
    <row r="63" spans="1:2" x14ac:dyDescent="0.3">
      <c r="A63" s="10">
        <v>11800</v>
      </c>
      <c r="B63" s="6">
        <f t="shared" si="0"/>
        <v>51.330000000000005</v>
      </c>
    </row>
    <row r="64" spans="1:2" x14ac:dyDescent="0.3">
      <c r="A64" s="10">
        <v>11850</v>
      </c>
      <c r="B64" s="6">
        <f t="shared" si="0"/>
        <v>51.13000000000001</v>
      </c>
    </row>
    <row r="65" spans="1:2" x14ac:dyDescent="0.3">
      <c r="A65" s="10">
        <v>11915</v>
      </c>
      <c r="B65" s="6">
        <f t="shared" si="0"/>
        <v>50.870000000000005</v>
      </c>
    </row>
    <row r="66" spans="1:2" x14ac:dyDescent="0.3">
      <c r="A66" s="10">
        <v>12000</v>
      </c>
      <c r="B66" s="6">
        <f t="shared" si="0"/>
        <v>50.530000000000008</v>
      </c>
    </row>
    <row r="67" spans="1:2" x14ac:dyDescent="0.3">
      <c r="A67" s="10">
        <v>12075</v>
      </c>
      <c r="B67" s="6">
        <f t="shared" si="0"/>
        <v>50.230000000000004</v>
      </c>
    </row>
    <row r="68" spans="1:2" x14ac:dyDescent="0.3">
      <c r="A68" s="10">
        <v>12200</v>
      </c>
      <c r="B68" s="6">
        <f t="shared" si="0"/>
        <v>49.730000000000004</v>
      </c>
    </row>
    <row r="69" spans="1:2" x14ac:dyDescent="0.3">
      <c r="A69" s="10">
        <v>12400</v>
      </c>
      <c r="B69" s="6">
        <f t="shared" si="0"/>
        <v>49.530000000000008</v>
      </c>
    </row>
    <row r="70" spans="1:2" x14ac:dyDescent="0.3">
      <c r="A70" s="10">
        <v>12600</v>
      </c>
      <c r="B70" s="6">
        <f t="shared" si="0"/>
        <v>49.530000000000008</v>
      </c>
    </row>
    <row r="71" spans="1:2" x14ac:dyDescent="0.3">
      <c r="A71" s="10">
        <v>12625</v>
      </c>
      <c r="B71" s="6">
        <f t="shared" si="0"/>
        <v>49.530000000000008</v>
      </c>
    </row>
    <row r="72" spans="1:2" x14ac:dyDescent="0.3">
      <c r="A72" s="10">
        <v>12800</v>
      </c>
      <c r="B72" s="6">
        <f t="shared" si="0"/>
        <v>49.530000000000008</v>
      </c>
    </row>
    <row r="73" spans="1:2" x14ac:dyDescent="0.3">
      <c r="A73" s="10">
        <v>13000</v>
      </c>
      <c r="B73" s="6">
        <f t="shared" si="0"/>
        <v>49.530000000000008</v>
      </c>
    </row>
    <row r="74" spans="1:2" x14ac:dyDescent="0.3">
      <c r="A74" s="10">
        <v>13150</v>
      </c>
      <c r="B74" s="6">
        <f t="shared" si="0"/>
        <v>49.530000000000008</v>
      </c>
    </row>
  </sheetData>
  <mergeCells count="1">
    <mergeCell ref="A1:A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417B7-C75D-4AA7-818C-C802DBFEAD12}">
  <sheetPr codeName="Sheet2"/>
  <dimension ref="A1:P30"/>
  <sheetViews>
    <sheetView workbookViewId="0">
      <selection activeCell="K28" sqref="K28"/>
    </sheetView>
  </sheetViews>
  <sheetFormatPr defaultRowHeight="14" x14ac:dyDescent="0.3"/>
  <cols>
    <col min="1" max="7" width="8.6640625" style="3"/>
    <col min="8" max="9" width="8.6640625" style="5"/>
  </cols>
  <sheetData>
    <row r="1" spans="1:13" ht="42.5" customHeight="1" x14ac:dyDescent="0.3">
      <c r="A1" s="2" t="s">
        <v>18</v>
      </c>
      <c r="B1" s="2" t="s">
        <v>19</v>
      </c>
      <c r="C1" s="2" t="s">
        <v>22</v>
      </c>
      <c r="D1" s="2" t="s">
        <v>20</v>
      </c>
      <c r="E1" s="2" t="s">
        <v>21</v>
      </c>
      <c r="F1" s="2" t="s">
        <v>23</v>
      </c>
      <c r="G1" s="2" t="s">
        <v>24</v>
      </c>
      <c r="H1" s="4" t="s">
        <v>25</v>
      </c>
      <c r="I1" s="4" t="s">
        <v>26</v>
      </c>
      <c r="J1" t="s">
        <v>28</v>
      </c>
      <c r="K1" t="s">
        <v>30</v>
      </c>
      <c r="L1" t="s">
        <v>29</v>
      </c>
    </row>
    <row r="2" spans="1:13" x14ac:dyDescent="0.3">
      <c r="A2" s="18" t="s">
        <v>27</v>
      </c>
      <c r="B2" s="2">
        <v>0.65</v>
      </c>
      <c r="C2" s="2">
        <v>0</v>
      </c>
      <c r="D2" s="2">
        <f t="shared" ref="D2:D14" si="0">10.5*J2/B2/1000</f>
        <v>0</v>
      </c>
      <c r="E2" s="2">
        <v>0</v>
      </c>
      <c r="F2" s="2">
        <f>SUM(C2:E2)</f>
        <v>0</v>
      </c>
      <c r="G2" s="2" cm="1">
        <f t="array" ref="G2">xxnc_df4b(F2,0)</f>
        <v>85</v>
      </c>
      <c r="H2" s="4">
        <f>60/G2</f>
        <v>0.70588235294117652</v>
      </c>
      <c r="I2" s="4">
        <f t="shared" ref="I2:I27" si="1">H2*B2</f>
        <v>0.45882352941176474</v>
      </c>
    </row>
    <row r="3" spans="1:13" x14ac:dyDescent="0.3">
      <c r="A3" s="18"/>
      <c r="B3" s="2">
        <v>0.5</v>
      </c>
      <c r="C3" s="2">
        <v>11.6</v>
      </c>
      <c r="D3" s="2">
        <f t="shared" si="0"/>
        <v>0.378</v>
      </c>
      <c r="E3" s="2">
        <v>0</v>
      </c>
      <c r="F3" s="2">
        <f t="shared" ref="F3:F27" si="2">SUM(C3:E3)</f>
        <v>11.978</v>
      </c>
      <c r="G3" s="2" cm="1">
        <f t="array" ref="G3">xxnc_df4b(F3,0)</f>
        <v>22.187793427230048</v>
      </c>
      <c r="H3" s="4">
        <f t="shared" ref="H3:H27" si="3">60/G3</f>
        <v>2.7041895895048667</v>
      </c>
      <c r="I3" s="4">
        <f t="shared" si="1"/>
        <v>1.3520947947524333</v>
      </c>
      <c r="J3">
        <v>18</v>
      </c>
    </row>
    <row r="4" spans="1:13" x14ac:dyDescent="0.3">
      <c r="A4" s="18"/>
      <c r="B4" s="2">
        <v>0.7</v>
      </c>
      <c r="C4" s="2">
        <v>12</v>
      </c>
      <c r="D4" s="2">
        <f t="shared" si="0"/>
        <v>0</v>
      </c>
      <c r="E4" s="2">
        <v>0</v>
      </c>
      <c r="F4" s="2">
        <f t="shared" si="2"/>
        <v>12</v>
      </c>
      <c r="G4" s="2" cm="1">
        <f t="array" ref="G4">xxnc_df4b(F4,0)</f>
        <v>22.136150234741784</v>
      </c>
      <c r="H4" s="4">
        <f t="shared" si="3"/>
        <v>2.7104984093319193</v>
      </c>
      <c r="I4" s="4">
        <f t="shared" si="1"/>
        <v>1.8973488865323433</v>
      </c>
    </row>
    <row r="5" spans="1:13" x14ac:dyDescent="0.3">
      <c r="A5" s="18"/>
      <c r="B5" s="2">
        <v>0.65</v>
      </c>
      <c r="C5" s="2">
        <v>11.5</v>
      </c>
      <c r="D5" s="2">
        <f t="shared" si="0"/>
        <v>0.49269230769230765</v>
      </c>
      <c r="E5" s="2">
        <v>0</v>
      </c>
      <c r="F5" s="2">
        <f t="shared" si="2"/>
        <v>11.992692307692307</v>
      </c>
      <c r="G5" s="2" cm="1">
        <f t="array" ref="G5">xxnc_df4b(F5,0)</f>
        <v>22.153304442036838</v>
      </c>
      <c r="H5" s="4">
        <f t="shared" si="3"/>
        <v>2.7083995598483921</v>
      </c>
      <c r="I5" s="4">
        <f t="shared" si="1"/>
        <v>1.7604597139014548</v>
      </c>
      <c r="J5">
        <v>30.5</v>
      </c>
    </row>
    <row r="6" spans="1:13" x14ac:dyDescent="0.3">
      <c r="A6" s="18"/>
      <c r="B6" s="2">
        <v>0.85</v>
      </c>
      <c r="C6" s="2">
        <v>11.3</v>
      </c>
      <c r="D6" s="2">
        <f t="shared" si="0"/>
        <v>0.58058823529411763</v>
      </c>
      <c r="E6" s="2">
        <v>0</v>
      </c>
      <c r="F6" s="2">
        <f t="shared" si="2"/>
        <v>11.880588235294118</v>
      </c>
      <c r="G6" s="2" cm="1">
        <f t="array" ref="G6">xxnc_df4b(F6,0)</f>
        <v>22.416459541563103</v>
      </c>
      <c r="H6" s="4">
        <f t="shared" si="3"/>
        <v>2.6766046568929407</v>
      </c>
      <c r="I6" s="4">
        <f t="shared" si="1"/>
        <v>2.2751139583589994</v>
      </c>
      <c r="J6">
        <v>47</v>
      </c>
    </row>
    <row r="7" spans="1:13" x14ac:dyDescent="0.3">
      <c r="A7" s="18"/>
      <c r="B7" s="2">
        <v>0.9</v>
      </c>
      <c r="C7" s="2">
        <v>6</v>
      </c>
      <c r="D7" s="2">
        <f t="shared" si="0"/>
        <v>0</v>
      </c>
      <c r="E7" s="2">
        <f>K7*K7*L7*0.0001</f>
        <v>0.85000000000000009</v>
      </c>
      <c r="F7" s="2">
        <f t="shared" si="2"/>
        <v>6.85</v>
      </c>
      <c r="G7" s="2" cm="1">
        <f t="array" ref="G7">xxnc_df4b(F7,0)</f>
        <v>36.923076923076927</v>
      </c>
      <c r="H7" s="4">
        <f t="shared" si="3"/>
        <v>1.6249999999999998</v>
      </c>
      <c r="I7" s="4">
        <f t="shared" si="1"/>
        <v>1.4624999999999999</v>
      </c>
      <c r="K7">
        <v>100</v>
      </c>
      <c r="L7">
        <v>0.85</v>
      </c>
    </row>
    <row r="8" spans="1:13" x14ac:dyDescent="0.3">
      <c r="A8" s="18"/>
      <c r="B8" s="2">
        <v>1.5</v>
      </c>
      <c r="C8" s="2">
        <v>-8</v>
      </c>
      <c r="D8" s="2">
        <f t="shared" si="0"/>
        <v>0</v>
      </c>
      <c r="E8" s="2">
        <f>L8*0.13</f>
        <v>0.17550000000000002</v>
      </c>
      <c r="F8" s="2">
        <f t="shared" si="2"/>
        <v>-7.8244999999999996</v>
      </c>
      <c r="G8" s="2" cm="1">
        <f t="array" ref="G8">xxnc_df4b(F8,0)</f>
        <v>78.740399999999994</v>
      </c>
      <c r="H8" s="4">
        <f t="shared" si="3"/>
        <v>0.76199765304722866</v>
      </c>
      <c r="I8" s="4">
        <f t="shared" si="1"/>
        <v>1.1429964795708429</v>
      </c>
      <c r="L8">
        <v>1.35</v>
      </c>
    </row>
    <row r="9" spans="1:13" x14ac:dyDescent="0.3">
      <c r="A9" s="18"/>
      <c r="B9" s="2">
        <v>1.25</v>
      </c>
      <c r="C9" s="2">
        <v>-9</v>
      </c>
      <c r="D9" s="2">
        <f t="shared" si="0"/>
        <v>0.18143999999999999</v>
      </c>
      <c r="E9" s="2">
        <v>0</v>
      </c>
      <c r="F9" s="2">
        <f t="shared" si="2"/>
        <v>-8.8185599999999997</v>
      </c>
      <c r="G9" s="2" cm="1">
        <f t="array" ref="G9">xxnc_df4b(F9,0)</f>
        <v>77.945152000000007</v>
      </c>
      <c r="H9" s="4">
        <f t="shared" si="3"/>
        <v>0.76977205715116181</v>
      </c>
      <c r="I9" s="4">
        <f t="shared" si="1"/>
        <v>0.96221507143895224</v>
      </c>
      <c r="J9">
        <v>21.6</v>
      </c>
    </row>
    <row r="10" spans="1:13" x14ac:dyDescent="0.3">
      <c r="A10" s="18"/>
      <c r="B10" s="2">
        <v>0.5</v>
      </c>
      <c r="C10" s="2">
        <v>-6</v>
      </c>
      <c r="D10" s="2">
        <f t="shared" si="0"/>
        <v>0</v>
      </c>
      <c r="E10" s="2">
        <v>0</v>
      </c>
      <c r="F10" s="2">
        <f t="shared" si="2"/>
        <v>-6</v>
      </c>
      <c r="G10" s="2" cm="1">
        <f t="array" ref="G10">xxnc_df4b(F10,0)</f>
        <v>80.2</v>
      </c>
      <c r="H10" s="4">
        <f t="shared" si="3"/>
        <v>0.74812967581047374</v>
      </c>
      <c r="I10" s="4">
        <f t="shared" si="1"/>
        <v>0.37406483790523687</v>
      </c>
    </row>
    <row r="11" spans="1:13" x14ac:dyDescent="0.3">
      <c r="A11" s="18"/>
      <c r="B11" s="2">
        <v>0.6</v>
      </c>
      <c r="C11" s="2">
        <v>-2</v>
      </c>
      <c r="D11" s="2">
        <f t="shared" si="0"/>
        <v>0.56525000000000003</v>
      </c>
      <c r="E11" s="2">
        <v>0</v>
      </c>
      <c r="F11" s="2">
        <f t="shared" si="2"/>
        <v>-1.43475</v>
      </c>
      <c r="G11" s="2" cm="1">
        <f t="array" ref="G11">xxnc_df4b(F11,0)</f>
        <v>83.852199999999996</v>
      </c>
      <c r="H11" s="4">
        <f t="shared" si="3"/>
        <v>0.71554473227893844</v>
      </c>
      <c r="I11" s="4">
        <f t="shared" si="1"/>
        <v>0.42932683936736304</v>
      </c>
      <c r="J11">
        <v>32.299999999999997</v>
      </c>
    </row>
    <row r="12" spans="1:13" x14ac:dyDescent="0.3">
      <c r="A12" s="18"/>
      <c r="B12" s="2">
        <v>1.3</v>
      </c>
      <c r="C12" s="2">
        <v>9</v>
      </c>
      <c r="D12" s="2">
        <f t="shared" si="0"/>
        <v>7.9153846153846158E-2</v>
      </c>
      <c r="E12" s="2">
        <v>0</v>
      </c>
      <c r="F12" s="2">
        <f t="shared" si="2"/>
        <v>9.0791538461538455</v>
      </c>
      <c r="G12" s="2" cm="1">
        <f t="array" ref="G12">xxnc_df4b(F12,0)</f>
        <v>28.992596605272663</v>
      </c>
      <c r="H12" s="4">
        <f t="shared" si="3"/>
        <v>2.069493837233201</v>
      </c>
      <c r="I12" s="4">
        <f t="shared" si="1"/>
        <v>2.6903419884031616</v>
      </c>
      <c r="J12">
        <v>9.8000000000000007</v>
      </c>
    </row>
    <row r="13" spans="1:13" x14ac:dyDescent="0.3">
      <c r="A13" s="18"/>
      <c r="B13" s="2">
        <v>1.85</v>
      </c>
      <c r="C13" s="2">
        <v>-4</v>
      </c>
      <c r="D13" s="2">
        <f t="shared" si="0"/>
        <v>0.10386486486486486</v>
      </c>
      <c r="E13" s="2">
        <v>0</v>
      </c>
      <c r="F13" s="2">
        <f t="shared" si="2"/>
        <v>-3.8961351351351352</v>
      </c>
      <c r="G13" s="2" cm="1">
        <f t="array" ref="G13">xxnc_df4b(F13,0)</f>
        <v>81.883091891891894</v>
      </c>
      <c r="H13" s="4">
        <f t="shared" si="3"/>
        <v>0.73275200793854278</v>
      </c>
      <c r="I13" s="4">
        <f t="shared" si="1"/>
        <v>1.3555912146863043</v>
      </c>
      <c r="J13">
        <v>18.3</v>
      </c>
      <c r="M13" s="6">
        <f>SUM(I2:I14)</f>
        <v>17.043230255505328</v>
      </c>
    </row>
    <row r="14" spans="1:13" x14ac:dyDescent="0.3">
      <c r="A14" s="18"/>
      <c r="B14" s="2">
        <v>1.25</v>
      </c>
      <c r="C14" s="2">
        <v>0</v>
      </c>
      <c r="D14" s="2">
        <f t="shared" si="0"/>
        <v>0</v>
      </c>
      <c r="E14" s="2">
        <v>0</v>
      </c>
      <c r="F14" s="2">
        <f t="shared" si="2"/>
        <v>0</v>
      </c>
      <c r="G14" s="2" cm="1">
        <f t="array" ref="G14">xxnc_df4b(F14,0)</f>
        <v>85</v>
      </c>
      <c r="H14" s="4">
        <f t="shared" si="3"/>
        <v>0.70588235294117652</v>
      </c>
      <c r="I14" s="4">
        <f t="shared" si="1"/>
        <v>0.88235294117647067</v>
      </c>
      <c r="M14" s="6">
        <f>SUM(I15:I27)</f>
        <v>13.988497787171577</v>
      </c>
    </row>
    <row r="15" spans="1:13" x14ac:dyDescent="0.3">
      <c r="A15" s="19" t="s">
        <v>31</v>
      </c>
      <c r="B15" s="3" cm="1">
        <f t="array" ref="B15:E27">reverse_pd(B2:E14)</f>
        <v>1.25</v>
      </c>
      <c r="C15" s="3">
        <v>0</v>
      </c>
      <c r="D15" s="3">
        <v>0</v>
      </c>
      <c r="E15" s="3">
        <v>0</v>
      </c>
      <c r="F15" s="2">
        <f t="shared" si="2"/>
        <v>0</v>
      </c>
      <c r="G15" s="2" cm="1">
        <f t="array" ref="G15">xxnc_df4b(F15,0)</f>
        <v>85</v>
      </c>
      <c r="H15" s="4">
        <f t="shared" si="3"/>
        <v>0.70588235294117652</v>
      </c>
      <c r="I15" s="4">
        <f t="shared" si="1"/>
        <v>0.88235294117647067</v>
      </c>
      <c r="M15">
        <v>9</v>
      </c>
    </row>
    <row r="16" spans="1:13" x14ac:dyDescent="0.3">
      <c r="A16" s="20"/>
      <c r="B16" s="3">
        <v>1.85</v>
      </c>
      <c r="C16" s="3">
        <v>4</v>
      </c>
      <c r="D16" s="3">
        <v>0.10386486486486486</v>
      </c>
      <c r="E16" s="3">
        <v>0</v>
      </c>
      <c r="F16" s="2">
        <f t="shared" si="2"/>
        <v>4.1038648648648648</v>
      </c>
      <c r="G16" s="2" cm="1">
        <f t="array" ref="G16">xxnc_df4b(F16,0)</f>
        <v>52.449081081081083</v>
      </c>
      <c r="H16" s="4">
        <f t="shared" si="3"/>
        <v>1.1439666580096217</v>
      </c>
      <c r="I16" s="4">
        <f t="shared" si="1"/>
        <v>2.1163383173178003</v>
      </c>
      <c r="M16" s="6">
        <f>SUM(M13:M15)</f>
        <v>40.031728042676903</v>
      </c>
    </row>
    <row r="17" spans="1:16" x14ac:dyDescent="0.3">
      <c r="A17" s="20"/>
      <c r="B17" s="3">
        <v>1.3</v>
      </c>
      <c r="C17" s="3">
        <v>-9</v>
      </c>
      <c r="D17" s="3">
        <v>7.9153846153846158E-2</v>
      </c>
      <c r="E17" s="3">
        <v>0</v>
      </c>
      <c r="F17" s="2">
        <f t="shared" si="2"/>
        <v>-8.9208461538461545</v>
      </c>
      <c r="G17" s="2" cm="1">
        <f t="array" ref="G17">xxnc_df4b(F17,0)</f>
        <v>77.863323076923081</v>
      </c>
      <c r="H17" s="4">
        <f t="shared" si="3"/>
        <v>0.77058103390635579</v>
      </c>
      <c r="I17" s="4">
        <f t="shared" si="1"/>
        <v>1.0017553440782625</v>
      </c>
      <c r="J17" s="3"/>
    </row>
    <row r="18" spans="1:16" x14ac:dyDescent="0.3">
      <c r="A18" s="20"/>
      <c r="B18" s="3">
        <v>0.6</v>
      </c>
      <c r="C18" s="3">
        <v>2</v>
      </c>
      <c r="D18" s="2">
        <v>0.56525000000000003</v>
      </c>
      <c r="E18" s="2">
        <v>0</v>
      </c>
      <c r="F18" s="2">
        <f t="shared" si="2"/>
        <v>2.5652499999999998</v>
      </c>
      <c r="G18" s="2" cm="1">
        <f t="array" ref="G18">xxnc_df4b(F18,0)</f>
        <v>65.456422018348633</v>
      </c>
      <c r="H18" s="4">
        <f t="shared" si="3"/>
        <v>0.91664038683906224</v>
      </c>
      <c r="I18" s="4">
        <f t="shared" si="1"/>
        <v>0.54998423210343728</v>
      </c>
      <c r="J18" s="2"/>
      <c r="K18" s="2"/>
      <c r="L18" s="2"/>
      <c r="M18" s="2"/>
      <c r="N18" s="2"/>
      <c r="O18" s="2"/>
      <c r="P18" s="2"/>
    </row>
    <row r="19" spans="1:16" x14ac:dyDescent="0.3">
      <c r="A19" s="20"/>
      <c r="B19" s="3">
        <v>0.5</v>
      </c>
      <c r="C19" s="3">
        <v>6</v>
      </c>
      <c r="D19" s="3">
        <v>0</v>
      </c>
      <c r="E19" s="3">
        <v>0</v>
      </c>
      <c r="F19" s="2">
        <f t="shared" si="2"/>
        <v>6</v>
      </c>
      <c r="G19" s="2" cm="1">
        <f t="array" ref="G19">xxnc_df4b(F19,0)</f>
        <v>40.304878048780488</v>
      </c>
      <c r="H19" s="4">
        <f t="shared" si="3"/>
        <v>1.4886535552193647</v>
      </c>
      <c r="I19" s="4">
        <f t="shared" si="1"/>
        <v>0.74432677760968236</v>
      </c>
    </row>
    <row r="20" spans="1:16" x14ac:dyDescent="0.3">
      <c r="A20" s="20"/>
      <c r="B20" s="3">
        <v>1.25</v>
      </c>
      <c r="C20" s="3">
        <v>9</v>
      </c>
      <c r="D20" s="3">
        <v>0.18143999999999999</v>
      </c>
      <c r="E20" s="3">
        <v>0</v>
      </c>
      <c r="F20" s="2">
        <f t="shared" si="2"/>
        <v>9.1814400000000003</v>
      </c>
      <c r="G20" s="2" cm="1">
        <f t="array" ref="G20">xxnc_df4b(F20,0)</f>
        <v>28.752488262910799</v>
      </c>
      <c r="H20" s="4">
        <f t="shared" si="3"/>
        <v>2.0867759148830558</v>
      </c>
      <c r="I20" s="4">
        <f t="shared" si="1"/>
        <v>2.6084698936038198</v>
      </c>
      <c r="K20" t="s">
        <v>32</v>
      </c>
      <c r="L20">
        <v>30</v>
      </c>
    </row>
    <row r="21" spans="1:16" x14ac:dyDescent="0.3">
      <c r="A21" s="20"/>
      <c r="B21" s="3">
        <v>1.5</v>
      </c>
      <c r="C21" s="3">
        <v>8</v>
      </c>
      <c r="D21" s="3">
        <v>0</v>
      </c>
      <c r="E21" s="3">
        <v>0.17550000000000002</v>
      </c>
      <c r="F21" s="2">
        <f t="shared" si="2"/>
        <v>8.1754999999999995</v>
      </c>
      <c r="G21" s="2" cm="1">
        <f t="array" ref="G21">xxnc_df4b(F21,0)</f>
        <v>31.825000000000003</v>
      </c>
      <c r="H21" s="4">
        <f t="shared" si="3"/>
        <v>1.885310290652003</v>
      </c>
      <c r="I21" s="4">
        <f t="shared" si="1"/>
        <v>2.8279654359780046</v>
      </c>
      <c r="K21" t="s">
        <v>33</v>
      </c>
      <c r="L21" s="6">
        <v>40.03</v>
      </c>
    </row>
    <row r="22" spans="1:16" x14ac:dyDescent="0.3">
      <c r="A22" s="20"/>
      <c r="B22" s="3">
        <v>0.9</v>
      </c>
      <c r="C22" s="3">
        <v>-6</v>
      </c>
      <c r="D22" s="3">
        <v>0</v>
      </c>
      <c r="E22" s="3">
        <v>0.85000000000000009</v>
      </c>
      <c r="F22" s="2">
        <f t="shared" si="2"/>
        <v>-5.15</v>
      </c>
      <c r="G22" s="2" cm="1">
        <f t="array" ref="G22">xxnc_df4b(F22,0)</f>
        <v>80.88</v>
      </c>
      <c r="H22" s="4">
        <f t="shared" si="3"/>
        <v>0.74183976261127604</v>
      </c>
      <c r="I22" s="4">
        <f t="shared" si="1"/>
        <v>0.66765578635014844</v>
      </c>
      <c r="K22" t="s">
        <v>34</v>
      </c>
      <c r="L22">
        <f>(1440-L20)/L21</f>
        <v>35.223582313265048</v>
      </c>
    </row>
    <row r="23" spans="1:16" x14ac:dyDescent="0.3">
      <c r="A23" s="20"/>
      <c r="B23" s="3">
        <v>0.85</v>
      </c>
      <c r="C23" s="3">
        <v>-11.3</v>
      </c>
      <c r="D23" s="3">
        <v>0.58058823529411763</v>
      </c>
      <c r="E23" s="3">
        <v>0</v>
      </c>
      <c r="F23" s="2">
        <f t="shared" si="2"/>
        <v>-10.719411764705884</v>
      </c>
      <c r="G23" s="2" cm="1">
        <f t="array" ref="G23">xxnc_df4b(F23,0)</f>
        <v>76.424470588235295</v>
      </c>
      <c r="H23" s="4">
        <f t="shared" si="3"/>
        <v>0.78508885358554692</v>
      </c>
      <c r="I23" s="4">
        <f t="shared" si="1"/>
        <v>0.66732552554771485</v>
      </c>
      <c r="L23" t="s">
        <v>39</v>
      </c>
      <c r="M23" t="s">
        <v>41</v>
      </c>
      <c r="N23" t="s">
        <v>40</v>
      </c>
      <c r="O23" t="s">
        <v>42</v>
      </c>
    </row>
    <row r="24" spans="1:16" x14ac:dyDescent="0.3">
      <c r="A24" s="20"/>
      <c r="B24" s="3">
        <v>0.65</v>
      </c>
      <c r="C24" s="3">
        <v>-11.5</v>
      </c>
      <c r="D24" s="3">
        <v>0.49269230769230765</v>
      </c>
      <c r="E24" s="3">
        <v>0</v>
      </c>
      <c r="F24" s="2">
        <f t="shared" si="2"/>
        <v>-11.007307692307693</v>
      </c>
      <c r="G24" s="2" cm="1">
        <f t="array" ref="G24">xxnc_df4b(F24,0)</f>
        <v>76.194153846153853</v>
      </c>
      <c r="H24" s="4">
        <f t="shared" si="3"/>
        <v>0.78746198981549154</v>
      </c>
      <c r="I24" s="4">
        <f t="shared" si="1"/>
        <v>0.51185029338006949</v>
      </c>
      <c r="K24" t="s">
        <v>43</v>
      </c>
      <c r="L24">
        <v>1</v>
      </c>
      <c r="M24">
        <v>1</v>
      </c>
      <c r="N24">
        <v>2</v>
      </c>
      <c r="O24">
        <v>3</v>
      </c>
    </row>
    <row r="25" spans="1:16" x14ac:dyDescent="0.3">
      <c r="A25" s="20"/>
      <c r="B25" s="3">
        <v>0.7</v>
      </c>
      <c r="C25" s="3">
        <v>-12</v>
      </c>
      <c r="D25" s="3">
        <v>0</v>
      </c>
      <c r="E25" s="3">
        <v>0</v>
      </c>
      <c r="F25" s="2">
        <f t="shared" si="2"/>
        <v>-12</v>
      </c>
      <c r="G25" s="2" cm="1">
        <f t="array" ref="G25">xxnc_df4b(F25,0)</f>
        <v>75.400000000000006</v>
      </c>
      <c r="H25" s="4">
        <f t="shared" si="3"/>
        <v>0.79575596816976124</v>
      </c>
      <c r="I25" s="4">
        <f t="shared" si="1"/>
        <v>0.55702917771883287</v>
      </c>
      <c r="K25" t="s">
        <v>44</v>
      </c>
      <c r="L25">
        <v>1.3</v>
      </c>
      <c r="M25">
        <v>2</v>
      </c>
      <c r="N25">
        <v>1.5</v>
      </c>
      <c r="O25">
        <v>1.2</v>
      </c>
    </row>
    <row r="26" spans="1:16" x14ac:dyDescent="0.3">
      <c r="A26" s="20"/>
      <c r="B26" s="3">
        <v>0.5</v>
      </c>
      <c r="C26" s="3">
        <v>-11.6</v>
      </c>
      <c r="D26" s="3">
        <v>0.378</v>
      </c>
      <c r="E26" s="3">
        <v>0</v>
      </c>
      <c r="F26" s="2">
        <f t="shared" si="2"/>
        <v>-11.222</v>
      </c>
      <c r="G26" s="2" cm="1">
        <f t="array" ref="G26">xxnc_df4b(F26,0)</f>
        <v>76.022400000000005</v>
      </c>
      <c r="H26" s="4">
        <f t="shared" si="3"/>
        <v>0.78924106579113518</v>
      </c>
      <c r="I26" s="4">
        <f t="shared" si="1"/>
        <v>0.39462053289556759</v>
      </c>
      <c r="K26" t="s">
        <v>45</v>
      </c>
      <c r="M26">
        <v>0.5</v>
      </c>
      <c r="N26">
        <v>0.75</v>
      </c>
      <c r="O26">
        <v>0.75</v>
      </c>
    </row>
    <row r="27" spans="1:16" x14ac:dyDescent="0.3">
      <c r="A27" s="21"/>
      <c r="B27" s="3">
        <v>0.65</v>
      </c>
      <c r="C27" s="3">
        <v>0</v>
      </c>
      <c r="D27" s="3">
        <v>0</v>
      </c>
      <c r="E27" s="3">
        <v>0</v>
      </c>
      <c r="F27" s="2">
        <f t="shared" si="2"/>
        <v>0</v>
      </c>
      <c r="G27" s="2" cm="1">
        <f t="array" ref="G27">xxnc_df4b(F27,0)</f>
        <v>85</v>
      </c>
      <c r="H27" s="4">
        <f t="shared" si="3"/>
        <v>0.70588235294117652</v>
      </c>
      <c r="I27" s="4">
        <f t="shared" si="1"/>
        <v>0.45882352941176474</v>
      </c>
      <c r="K27" t="s">
        <v>35</v>
      </c>
      <c r="L27">
        <f>38/1.2-(L24*L25+M24*M25+N24*N25+O24*O25)</f>
        <v>21.766666666666669</v>
      </c>
    </row>
    <row r="28" spans="1:16" x14ac:dyDescent="0.3">
      <c r="K28" t="s">
        <v>36</v>
      </c>
      <c r="L28">
        <v>23.51</v>
      </c>
    </row>
    <row r="29" spans="1:16" x14ac:dyDescent="0.3">
      <c r="K29" t="s">
        <v>37</v>
      </c>
      <c r="L29">
        <f>365*L28*P30/1000000/1.15</f>
        <v>10.906268556521741</v>
      </c>
    </row>
    <row r="30" spans="1:16" x14ac:dyDescent="0.3">
      <c r="O30" t="s">
        <v>38</v>
      </c>
      <c r="P30">
        <f>2030*0.72</f>
        <v>1461.6</v>
      </c>
    </row>
  </sheetData>
  <mergeCells count="2">
    <mergeCell ref="A2:A14"/>
    <mergeCell ref="A15:A27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7C306-B4AC-4FD7-BC49-C9DC32F2D544}">
  <sheetPr codeName="Sheet4"/>
  <dimension ref="A1:I27"/>
  <sheetViews>
    <sheetView topLeftCell="A25" workbookViewId="0">
      <selection activeCell="C31" sqref="C31"/>
    </sheetView>
  </sheetViews>
  <sheetFormatPr defaultRowHeight="14" x14ac:dyDescent="0.3"/>
  <cols>
    <col min="2" max="5" width="8.6640625" style="7"/>
    <col min="6" max="6" width="11.75" style="7" bestFit="1" customWidth="1"/>
    <col min="7" max="9" width="8.6640625" style="6"/>
  </cols>
  <sheetData>
    <row r="1" spans="1:9" x14ac:dyDescent="0.3">
      <c r="A1" t="s">
        <v>46</v>
      </c>
      <c r="B1" s="7" t="s">
        <v>47</v>
      </c>
      <c r="C1" s="7" t="s">
        <v>48</v>
      </c>
      <c r="D1" s="7" t="s">
        <v>52</v>
      </c>
      <c r="E1" s="7" t="s">
        <v>53</v>
      </c>
      <c r="F1" s="7" t="s">
        <v>54</v>
      </c>
      <c r="G1" s="6" t="s">
        <v>55</v>
      </c>
      <c r="H1" s="6" t="s">
        <v>56</v>
      </c>
      <c r="I1" s="6" t="s">
        <v>57</v>
      </c>
    </row>
    <row r="2" spans="1:9" x14ac:dyDescent="0.3">
      <c r="A2" s="22" t="s">
        <v>49</v>
      </c>
      <c r="B2" s="7">
        <v>0.65</v>
      </c>
      <c r="C2" s="7">
        <v>0</v>
      </c>
      <c r="D2" s="8">
        <v>0</v>
      </c>
      <c r="E2" s="8">
        <v>0</v>
      </c>
      <c r="F2" s="8">
        <v>0</v>
      </c>
      <c r="G2" s="6">
        <v>85</v>
      </c>
      <c r="H2" s="6">
        <v>0.70588235294117652</v>
      </c>
      <c r="I2" s="6">
        <v>0.45882352941176474</v>
      </c>
    </row>
    <row r="3" spans="1:9" x14ac:dyDescent="0.3">
      <c r="A3" s="22"/>
      <c r="B3" s="7">
        <v>0.5</v>
      </c>
      <c r="C3" s="7">
        <v>11.6</v>
      </c>
      <c r="D3" s="1">
        <v>0.378</v>
      </c>
      <c r="E3" s="8">
        <v>0</v>
      </c>
      <c r="F3" s="1">
        <v>11.978</v>
      </c>
      <c r="G3" s="6">
        <v>22.187793427230048</v>
      </c>
      <c r="H3" s="6">
        <v>2.7041895895048667</v>
      </c>
      <c r="I3" s="6">
        <v>1.3520947947524333</v>
      </c>
    </row>
    <row r="4" spans="1:9" x14ac:dyDescent="0.3">
      <c r="A4" s="22"/>
      <c r="B4" s="7">
        <v>0.7</v>
      </c>
      <c r="C4" s="7">
        <v>12</v>
      </c>
      <c r="D4" s="8">
        <v>0</v>
      </c>
      <c r="E4" s="8">
        <v>0</v>
      </c>
      <c r="F4" s="1">
        <v>12</v>
      </c>
      <c r="G4" s="6">
        <v>22.136150234741784</v>
      </c>
      <c r="H4" s="6">
        <v>2.7104984093319193</v>
      </c>
      <c r="I4" s="6">
        <v>1.8973488865323433</v>
      </c>
    </row>
    <row r="5" spans="1:9" x14ac:dyDescent="0.3">
      <c r="A5" s="22"/>
      <c r="B5" s="7">
        <v>0.65</v>
      </c>
      <c r="C5" s="7">
        <v>11.5</v>
      </c>
      <c r="D5" s="1">
        <v>0.49269230769230765</v>
      </c>
      <c r="E5" s="8">
        <v>0</v>
      </c>
      <c r="F5" s="1">
        <v>11.992692307692307</v>
      </c>
      <c r="G5" s="6">
        <v>22.153304442036838</v>
      </c>
      <c r="H5" s="6">
        <v>2.7083995598483921</v>
      </c>
      <c r="I5" s="6">
        <v>1.7604597139014548</v>
      </c>
    </row>
    <row r="6" spans="1:9" x14ac:dyDescent="0.3">
      <c r="A6" s="22"/>
      <c r="B6" s="7">
        <v>0.85</v>
      </c>
      <c r="C6" s="7">
        <v>11.3</v>
      </c>
      <c r="D6" s="1">
        <v>0.58058823529411763</v>
      </c>
      <c r="E6" s="8">
        <v>0</v>
      </c>
      <c r="F6" s="1">
        <v>11.880588235294118</v>
      </c>
      <c r="G6" s="6">
        <v>22.416459541563103</v>
      </c>
      <c r="H6" s="6">
        <v>2.6766046568929407</v>
      </c>
      <c r="I6" s="6">
        <v>2.2751139583589994</v>
      </c>
    </row>
    <row r="7" spans="1:9" x14ac:dyDescent="0.3">
      <c r="A7" s="22"/>
      <c r="B7" s="7">
        <v>0.9</v>
      </c>
      <c r="C7" s="7">
        <v>6</v>
      </c>
      <c r="D7" s="8">
        <v>0</v>
      </c>
      <c r="E7" s="1">
        <v>0.85000000000000009</v>
      </c>
      <c r="F7" s="1">
        <v>6.85</v>
      </c>
      <c r="G7" s="6">
        <v>36.923076923076927</v>
      </c>
      <c r="H7" s="6">
        <v>1.6249999999999998</v>
      </c>
      <c r="I7" s="6">
        <v>1.4624999999999999</v>
      </c>
    </row>
    <row r="8" spans="1:9" x14ac:dyDescent="0.3">
      <c r="A8" s="22"/>
      <c r="B8" s="7">
        <v>1.5</v>
      </c>
      <c r="C8" s="7">
        <v>-8</v>
      </c>
      <c r="D8" s="8">
        <v>0</v>
      </c>
      <c r="E8" s="1">
        <v>0.17550000000000002</v>
      </c>
      <c r="F8" s="1">
        <v>-7.8244999999999996</v>
      </c>
      <c r="G8" s="6">
        <v>78.740399999999994</v>
      </c>
      <c r="H8" s="6">
        <v>0.76199765304722866</v>
      </c>
      <c r="I8" s="6">
        <v>1.1429964795708429</v>
      </c>
    </row>
    <row r="9" spans="1:9" x14ac:dyDescent="0.3">
      <c r="A9" s="22"/>
      <c r="B9" s="7">
        <v>1.25</v>
      </c>
      <c r="C9" s="7">
        <v>-9</v>
      </c>
      <c r="D9" s="1">
        <v>0.18143999999999999</v>
      </c>
      <c r="E9" s="8">
        <v>0</v>
      </c>
      <c r="F9" s="1">
        <v>-8.8185599999999997</v>
      </c>
      <c r="G9" s="6">
        <v>77.945152000000007</v>
      </c>
      <c r="H9" s="6">
        <v>0.76977205715116181</v>
      </c>
      <c r="I9" s="6">
        <v>0.96221507143895224</v>
      </c>
    </row>
    <row r="10" spans="1:9" x14ac:dyDescent="0.3">
      <c r="A10" s="22"/>
      <c r="B10" s="7">
        <v>0.5</v>
      </c>
      <c r="C10" s="7">
        <v>-6</v>
      </c>
      <c r="D10" s="1">
        <v>0</v>
      </c>
      <c r="E10" s="8">
        <v>0</v>
      </c>
      <c r="F10" s="1">
        <v>-6</v>
      </c>
      <c r="G10" s="6">
        <v>80.2</v>
      </c>
      <c r="H10" s="6">
        <v>0.74812967581047374</v>
      </c>
      <c r="I10" s="6">
        <v>0.37406483790523687</v>
      </c>
    </row>
    <row r="11" spans="1:9" x14ac:dyDescent="0.3">
      <c r="A11" s="22"/>
      <c r="B11" s="7">
        <v>0.6</v>
      </c>
      <c r="C11" s="7">
        <v>-2</v>
      </c>
      <c r="D11" s="1">
        <v>0.56525000000000003</v>
      </c>
      <c r="E11" s="8">
        <v>0</v>
      </c>
      <c r="F11" s="1">
        <v>-1.43475</v>
      </c>
      <c r="G11" s="6">
        <v>83.852199999999996</v>
      </c>
      <c r="H11" s="6">
        <v>0.71554473227893844</v>
      </c>
      <c r="I11" s="6">
        <v>0.42932683936736304</v>
      </c>
    </row>
    <row r="12" spans="1:9" x14ac:dyDescent="0.3">
      <c r="A12" s="22"/>
      <c r="B12" s="7">
        <v>1.3</v>
      </c>
      <c r="C12" s="7">
        <v>9</v>
      </c>
      <c r="D12" s="1">
        <v>7.9153846153846158E-2</v>
      </c>
      <c r="E12" s="8">
        <v>0</v>
      </c>
      <c r="F12" s="1">
        <v>9.0791538461538455</v>
      </c>
      <c r="G12" s="6">
        <v>28.992596605272663</v>
      </c>
      <c r="H12" s="6">
        <v>2.069493837233201</v>
      </c>
      <c r="I12" s="6">
        <v>2.6903419884031616</v>
      </c>
    </row>
    <row r="13" spans="1:9" x14ac:dyDescent="0.3">
      <c r="A13" s="22"/>
      <c r="B13" s="7">
        <v>1.85</v>
      </c>
      <c r="C13" s="7">
        <v>-4</v>
      </c>
      <c r="D13" s="1">
        <v>0.10386486486486486</v>
      </c>
      <c r="E13" s="8">
        <v>0</v>
      </c>
      <c r="F13" s="1">
        <v>-3.8961351351351352</v>
      </c>
      <c r="G13" s="6">
        <v>81.883091891891894</v>
      </c>
      <c r="H13" s="6">
        <v>0.73275200793854278</v>
      </c>
      <c r="I13" s="6">
        <v>1.3555912146863043</v>
      </c>
    </row>
    <row r="14" spans="1:9" x14ac:dyDescent="0.3">
      <c r="A14" s="22"/>
      <c r="B14" s="7">
        <v>1.25</v>
      </c>
      <c r="C14" s="7">
        <v>0</v>
      </c>
      <c r="D14" s="8">
        <v>0</v>
      </c>
      <c r="E14" s="8">
        <v>0</v>
      </c>
      <c r="F14" s="1">
        <v>0</v>
      </c>
      <c r="G14" s="6">
        <v>85</v>
      </c>
      <c r="H14" s="6">
        <v>0.70588235294117652</v>
      </c>
      <c r="I14" s="6">
        <v>0.88235294117647067</v>
      </c>
    </row>
    <row r="15" spans="1:9" x14ac:dyDescent="0.3">
      <c r="A15" s="22" t="s">
        <v>50</v>
      </c>
      <c r="B15" s="7">
        <v>1.25</v>
      </c>
      <c r="C15" s="7">
        <v>0</v>
      </c>
      <c r="D15" s="8">
        <v>0</v>
      </c>
      <c r="E15" s="8">
        <v>0</v>
      </c>
      <c r="F15" s="1">
        <v>0</v>
      </c>
      <c r="G15" s="6">
        <v>85</v>
      </c>
      <c r="H15" s="6">
        <v>0.70588235294117652</v>
      </c>
      <c r="I15" s="6">
        <v>0.88235294117647067</v>
      </c>
    </row>
    <row r="16" spans="1:9" x14ac:dyDescent="0.3">
      <c r="A16" s="22"/>
      <c r="B16" s="7">
        <v>1.85</v>
      </c>
      <c r="C16" s="7">
        <v>4</v>
      </c>
      <c r="D16" s="1">
        <v>0.10386486486486486</v>
      </c>
      <c r="E16" s="8">
        <v>0</v>
      </c>
      <c r="F16" s="1">
        <v>4.1038648648648648</v>
      </c>
      <c r="G16" s="6">
        <v>52.449081081081083</v>
      </c>
      <c r="H16" s="6">
        <v>1.1439666580096217</v>
      </c>
      <c r="I16" s="6">
        <v>2.1163383173178003</v>
      </c>
    </row>
    <row r="17" spans="1:9" x14ac:dyDescent="0.3">
      <c r="A17" s="22"/>
      <c r="B17" s="7">
        <v>1.3</v>
      </c>
      <c r="C17" s="7">
        <v>-9</v>
      </c>
      <c r="D17" s="1">
        <v>7.9153846153846158E-2</v>
      </c>
      <c r="E17" s="8">
        <v>0</v>
      </c>
      <c r="F17" s="1">
        <v>-8.9208461538461545</v>
      </c>
      <c r="G17" s="6">
        <v>77.863323076923081</v>
      </c>
      <c r="H17" s="6">
        <v>0.77058103390635579</v>
      </c>
      <c r="I17" s="6">
        <v>1.0017553440782625</v>
      </c>
    </row>
    <row r="18" spans="1:9" x14ac:dyDescent="0.3">
      <c r="A18" s="22"/>
      <c r="B18" s="7">
        <v>0.6</v>
      </c>
      <c r="C18" s="7">
        <v>2</v>
      </c>
      <c r="D18" s="1">
        <v>0.56525000000000003</v>
      </c>
      <c r="E18" s="8">
        <v>0</v>
      </c>
      <c r="F18" s="1">
        <v>2.5652499999999998</v>
      </c>
      <c r="G18" s="6">
        <v>65.456422018348633</v>
      </c>
      <c r="H18" s="6">
        <v>0.91664038683906224</v>
      </c>
      <c r="I18" s="6">
        <v>0.54998423210343728</v>
      </c>
    </row>
    <row r="19" spans="1:9" x14ac:dyDescent="0.3">
      <c r="A19" s="22"/>
      <c r="B19" s="7">
        <v>0.5</v>
      </c>
      <c r="C19" s="7">
        <v>6</v>
      </c>
      <c r="D19" s="8">
        <v>0</v>
      </c>
      <c r="E19" s="8">
        <v>0</v>
      </c>
      <c r="F19" s="1">
        <v>6</v>
      </c>
      <c r="G19" s="6">
        <v>40.304878048780488</v>
      </c>
      <c r="H19" s="6">
        <v>1.4886535552193647</v>
      </c>
      <c r="I19" s="6">
        <v>0.74432677760968236</v>
      </c>
    </row>
    <row r="20" spans="1:9" x14ac:dyDescent="0.3">
      <c r="A20" s="22"/>
      <c r="B20" s="7">
        <v>1.25</v>
      </c>
      <c r="C20" s="7">
        <v>9</v>
      </c>
      <c r="D20" s="1">
        <v>0.18143999999999999</v>
      </c>
      <c r="E20" s="8">
        <v>0</v>
      </c>
      <c r="F20" s="1">
        <v>9.1814400000000003</v>
      </c>
      <c r="G20" s="6">
        <v>28.752488262910799</v>
      </c>
      <c r="H20" s="6">
        <v>2.0867759148830558</v>
      </c>
      <c r="I20" s="6">
        <v>2.6084698936038198</v>
      </c>
    </row>
    <row r="21" spans="1:9" x14ac:dyDescent="0.3">
      <c r="A21" s="22"/>
      <c r="B21" s="7">
        <v>1.5</v>
      </c>
      <c r="C21" s="7">
        <v>8</v>
      </c>
      <c r="D21" s="8">
        <v>0</v>
      </c>
      <c r="E21" s="1">
        <v>0.17550000000000002</v>
      </c>
      <c r="F21" s="1">
        <v>8.1754999999999995</v>
      </c>
      <c r="G21" s="6">
        <v>31.825000000000003</v>
      </c>
      <c r="H21" s="6">
        <v>1.885310290652003</v>
      </c>
      <c r="I21" s="6">
        <v>2.8279654359780046</v>
      </c>
    </row>
    <row r="22" spans="1:9" x14ac:dyDescent="0.3">
      <c r="A22" s="22"/>
      <c r="B22" s="7">
        <v>0.9</v>
      </c>
      <c r="C22" s="7">
        <v>-6</v>
      </c>
      <c r="D22" s="8">
        <v>0</v>
      </c>
      <c r="E22" s="1">
        <v>0.85000000000000009</v>
      </c>
      <c r="F22" s="1">
        <v>-5.15</v>
      </c>
      <c r="G22" s="6">
        <v>80.88</v>
      </c>
      <c r="H22" s="6">
        <v>0.74183976261127604</v>
      </c>
      <c r="I22" s="6">
        <v>0.66765578635014844</v>
      </c>
    </row>
    <row r="23" spans="1:9" x14ac:dyDescent="0.3">
      <c r="A23" s="22"/>
      <c r="B23" s="7">
        <v>0.85</v>
      </c>
      <c r="C23" s="7">
        <v>-11.3</v>
      </c>
      <c r="D23" s="1">
        <v>0.58058823529411763</v>
      </c>
      <c r="E23" s="8">
        <v>0</v>
      </c>
      <c r="F23" s="1">
        <v>-10.719411764705884</v>
      </c>
      <c r="G23" s="6">
        <v>76.424470588235295</v>
      </c>
      <c r="H23" s="6">
        <v>0.78508885358554692</v>
      </c>
      <c r="I23" s="6">
        <v>0.66732552554771485</v>
      </c>
    </row>
    <row r="24" spans="1:9" x14ac:dyDescent="0.3">
      <c r="A24" s="22"/>
      <c r="B24" s="7">
        <v>0.65</v>
      </c>
      <c r="C24" s="7">
        <v>-11.5</v>
      </c>
      <c r="D24" s="1">
        <v>0.49269230769230765</v>
      </c>
      <c r="E24" s="8">
        <v>0</v>
      </c>
      <c r="F24" s="1">
        <v>-11.007307692307693</v>
      </c>
      <c r="G24" s="6">
        <v>76.194153846153853</v>
      </c>
      <c r="H24" s="6">
        <v>0.78746198981549154</v>
      </c>
      <c r="I24" s="6">
        <v>0.51185029338006949</v>
      </c>
    </row>
    <row r="25" spans="1:9" x14ac:dyDescent="0.3">
      <c r="A25" s="22"/>
      <c r="B25" s="7">
        <v>0.7</v>
      </c>
      <c r="C25" s="7">
        <v>-12</v>
      </c>
      <c r="D25" s="8">
        <v>0</v>
      </c>
      <c r="E25" s="8">
        <v>0</v>
      </c>
      <c r="F25" s="1">
        <v>-12</v>
      </c>
      <c r="G25" s="6">
        <v>75.400000000000006</v>
      </c>
      <c r="H25" s="6">
        <v>0.79575596816976124</v>
      </c>
      <c r="I25" s="6">
        <v>0.55702917771883287</v>
      </c>
    </row>
    <row r="26" spans="1:9" x14ac:dyDescent="0.3">
      <c r="A26" s="22"/>
      <c r="B26" s="7">
        <v>0.5</v>
      </c>
      <c r="C26" s="7">
        <v>-11.6</v>
      </c>
      <c r="D26" s="1">
        <v>0.378</v>
      </c>
      <c r="E26" s="8">
        <v>0</v>
      </c>
      <c r="F26" s="1">
        <v>-11.222</v>
      </c>
      <c r="G26" s="6">
        <v>76.022400000000005</v>
      </c>
      <c r="H26" s="6">
        <v>0.78924106579113518</v>
      </c>
      <c r="I26" s="6">
        <v>0.39462053289556759</v>
      </c>
    </row>
    <row r="27" spans="1:9" x14ac:dyDescent="0.3">
      <c r="A27" s="22"/>
      <c r="B27" s="7">
        <v>0.65</v>
      </c>
      <c r="C27" s="7">
        <v>0</v>
      </c>
      <c r="D27" s="1">
        <v>0</v>
      </c>
      <c r="E27" s="8">
        <v>0</v>
      </c>
      <c r="F27" s="8">
        <v>0</v>
      </c>
      <c r="G27" s="6">
        <v>85</v>
      </c>
      <c r="H27" s="6">
        <v>0.70588235294117652</v>
      </c>
      <c r="I27" s="6">
        <v>0.45882352941176474</v>
      </c>
    </row>
  </sheetData>
  <mergeCells count="2">
    <mergeCell ref="A2:A14"/>
    <mergeCell ref="A15:A27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A3500-0827-4414-8A84-E9CBD961981F}">
  <sheetPr codeName="Sheet5"/>
  <dimension ref="A1:S62"/>
  <sheetViews>
    <sheetView zoomScale="115" zoomScaleNormal="115" workbookViewId="0">
      <pane ySplit="1" topLeftCell="A2" activePane="bottomLeft" state="frozen"/>
      <selection pane="bottomLeft" activeCell="A61" sqref="A1:A61"/>
    </sheetView>
  </sheetViews>
  <sheetFormatPr defaultRowHeight="14" x14ac:dyDescent="0.3"/>
  <cols>
    <col min="1" max="1" width="7.25" style="10" customWidth="1"/>
    <col min="2" max="4" width="5.83203125" customWidth="1"/>
    <col min="5" max="5" width="7.6640625" style="6" customWidth="1"/>
    <col min="6" max="6" width="9.75" customWidth="1"/>
    <col min="7" max="7" width="9.75" style="1" customWidth="1"/>
    <col min="8" max="8" width="7.5" style="7" customWidth="1"/>
    <col min="9" max="9" width="10.1640625" style="6" customWidth="1"/>
    <col min="10" max="10" width="9.83203125" style="6" customWidth="1"/>
    <col min="11" max="11" width="24.9140625" customWidth="1"/>
  </cols>
  <sheetData>
    <row r="1" spans="1:19" x14ac:dyDescent="0.3">
      <c r="A1" s="23" t="s">
        <v>58</v>
      </c>
      <c r="B1" s="24" t="s">
        <v>17</v>
      </c>
      <c r="C1" s="24"/>
      <c r="D1" s="24" t="s">
        <v>59</v>
      </c>
      <c r="E1" s="24"/>
      <c r="F1" s="24" t="s">
        <v>60</v>
      </c>
      <c r="G1" s="24"/>
      <c r="H1" s="7" t="s">
        <v>61</v>
      </c>
      <c r="I1" s="24" t="s">
        <v>62</v>
      </c>
      <c r="J1" s="24"/>
      <c r="K1" s="24" t="s">
        <v>63</v>
      </c>
      <c r="L1" s="24" t="s">
        <v>64</v>
      </c>
    </row>
    <row r="2" spans="1:19" x14ac:dyDescent="0.3">
      <c r="A2" s="23"/>
      <c r="B2" t="s">
        <v>65</v>
      </c>
      <c r="C2" t="s">
        <v>66</v>
      </c>
      <c r="D2" t="s">
        <v>65</v>
      </c>
      <c r="E2" s="6" t="s">
        <v>66</v>
      </c>
      <c r="F2" t="s">
        <v>65</v>
      </c>
      <c r="G2" s="1" t="s">
        <v>66</v>
      </c>
      <c r="I2" s="6" t="s">
        <v>65</v>
      </c>
      <c r="J2" s="6" t="s">
        <v>66</v>
      </c>
      <c r="K2" s="24"/>
      <c r="L2" s="24"/>
      <c r="P2">
        <v>4.2</v>
      </c>
      <c r="Q2" cm="1">
        <f t="array" ref="Q2">xxnc(P12:P13,Q12:Q13,P2)</f>
        <v>24.462000000000003</v>
      </c>
      <c r="R2" cm="1">
        <f t="array" ref="R2">xxnc(P12:P13,R12:R13,P2)</f>
        <v>34.701999999999998</v>
      </c>
      <c r="S2">
        <f>SUM(Q2:R2)</f>
        <v>59.164000000000001</v>
      </c>
    </row>
    <row r="3" spans="1:19" x14ac:dyDescent="0.3">
      <c r="A3" s="10">
        <v>1000</v>
      </c>
      <c r="B3">
        <v>0</v>
      </c>
      <c r="D3">
        <v>0.81</v>
      </c>
      <c r="E3" s="6">
        <v>0.56999999999999995</v>
      </c>
      <c r="F3">
        <f>(D3+D4)/2</f>
        <v>12.149999999999999</v>
      </c>
      <c r="G3" s="1">
        <f>(E3+E4)/2</f>
        <v>0.28499999999999998</v>
      </c>
      <c r="H3" s="7">
        <f t="shared" ref="H3:H34" si="0">A4-A3</f>
        <v>200</v>
      </c>
      <c r="I3" s="6">
        <f>F3*H3</f>
        <v>2429.9999999999995</v>
      </c>
      <c r="J3" s="6">
        <f>G3*H3</f>
        <v>56.999999999999993</v>
      </c>
      <c r="L3" t="s">
        <v>67</v>
      </c>
      <c r="M3">
        <v>5</v>
      </c>
      <c r="N3" t="s">
        <v>68</v>
      </c>
    </row>
    <row r="4" spans="1:19" x14ac:dyDescent="0.3">
      <c r="A4" s="10">
        <v>1200</v>
      </c>
      <c r="B4">
        <v>2</v>
      </c>
      <c r="D4">
        <v>23.49</v>
      </c>
      <c r="F4">
        <f t="shared" ref="F4:F60" si="1">(D4+D5)/2</f>
        <v>23.114999999999998</v>
      </c>
      <c r="G4" s="1">
        <f t="shared" ref="G4:G60" si="2">(E4+E5)/2</f>
        <v>0</v>
      </c>
      <c r="H4" s="7">
        <f t="shared" si="0"/>
        <v>200</v>
      </c>
      <c r="I4" s="6">
        <f t="shared" ref="I4:I60" si="3">F4*H4</f>
        <v>4623</v>
      </c>
      <c r="J4" s="6">
        <f t="shared" ref="J4:J60" si="4">G4*H4</f>
        <v>0</v>
      </c>
      <c r="L4" t="s">
        <v>67</v>
      </c>
      <c r="M4">
        <v>5</v>
      </c>
      <c r="N4" t="s">
        <v>70</v>
      </c>
      <c r="P4" t="s">
        <v>74</v>
      </c>
      <c r="Q4">
        <v>-0.1</v>
      </c>
      <c r="R4">
        <v>0.1</v>
      </c>
      <c r="S4" t="s">
        <v>73</v>
      </c>
    </row>
    <row r="5" spans="1:19" x14ac:dyDescent="0.3">
      <c r="A5" s="10">
        <v>1400</v>
      </c>
      <c r="B5">
        <v>2</v>
      </c>
      <c r="D5">
        <v>22.74</v>
      </c>
      <c r="F5">
        <f t="shared" si="1"/>
        <v>22.114999999999998</v>
      </c>
      <c r="G5" s="1">
        <f t="shared" si="2"/>
        <v>0</v>
      </c>
      <c r="H5" s="7">
        <f t="shared" si="0"/>
        <v>125</v>
      </c>
      <c r="I5" s="6">
        <f t="shared" si="3"/>
        <v>2764.375</v>
      </c>
      <c r="J5" s="6">
        <f t="shared" si="4"/>
        <v>0</v>
      </c>
      <c r="L5" t="s">
        <v>67</v>
      </c>
      <c r="M5">
        <v>5</v>
      </c>
      <c r="P5">
        <v>0.5</v>
      </c>
      <c r="Q5">
        <v>1.18</v>
      </c>
      <c r="R5">
        <v>3.2</v>
      </c>
      <c r="S5">
        <f>SUM(Q5:R5)</f>
        <v>4.38</v>
      </c>
    </row>
    <row r="6" spans="1:19" x14ac:dyDescent="0.3">
      <c r="A6" s="10">
        <v>1525</v>
      </c>
      <c r="B6">
        <v>2</v>
      </c>
      <c r="D6">
        <v>21.49</v>
      </c>
      <c r="F6">
        <f t="shared" si="1"/>
        <v>21.49</v>
      </c>
      <c r="G6" s="1">
        <f t="shared" si="2"/>
        <v>0</v>
      </c>
      <c r="H6" s="7">
        <f t="shared" si="0"/>
        <v>75</v>
      </c>
      <c r="I6" s="6">
        <f t="shared" si="3"/>
        <v>1611.7499999999998</v>
      </c>
      <c r="J6" s="6">
        <f t="shared" si="4"/>
        <v>0</v>
      </c>
      <c r="P6">
        <v>1</v>
      </c>
      <c r="Q6">
        <v>3.27</v>
      </c>
      <c r="R6">
        <v>6.04</v>
      </c>
      <c r="S6">
        <f t="shared" ref="S6:S16" si="5">SUM(Q6:R6)</f>
        <v>9.31</v>
      </c>
    </row>
    <row r="7" spans="1:19" x14ac:dyDescent="0.3">
      <c r="A7" s="10">
        <v>1600</v>
      </c>
      <c r="B7">
        <v>2</v>
      </c>
      <c r="D7">
        <v>21.49</v>
      </c>
      <c r="F7">
        <f t="shared" si="1"/>
        <v>40.494999999999997</v>
      </c>
      <c r="G7" s="1">
        <f t="shared" si="2"/>
        <v>0</v>
      </c>
      <c r="H7" s="7">
        <f t="shared" si="0"/>
        <v>200</v>
      </c>
      <c r="I7" s="6">
        <f t="shared" si="3"/>
        <v>8098.9999999999991</v>
      </c>
      <c r="J7" s="6">
        <f t="shared" si="4"/>
        <v>0</v>
      </c>
      <c r="P7">
        <v>1.5</v>
      </c>
      <c r="Q7">
        <v>5.7</v>
      </c>
      <c r="R7">
        <v>9.32</v>
      </c>
      <c r="S7">
        <f t="shared" si="5"/>
        <v>15.02</v>
      </c>
    </row>
    <row r="8" spans="1:19" x14ac:dyDescent="0.3">
      <c r="A8" s="10">
        <v>1800</v>
      </c>
      <c r="B8">
        <v>4.2</v>
      </c>
      <c r="D8">
        <v>59.5</v>
      </c>
      <c r="F8">
        <f t="shared" si="1"/>
        <v>57.39</v>
      </c>
      <c r="G8" s="1">
        <f t="shared" si="2"/>
        <v>0</v>
      </c>
      <c r="H8" s="7">
        <f t="shared" si="0"/>
        <v>200</v>
      </c>
      <c r="I8" s="6">
        <f t="shared" si="3"/>
        <v>11478</v>
      </c>
      <c r="J8" s="6">
        <f t="shared" si="4"/>
        <v>0</v>
      </c>
      <c r="L8" t="s">
        <v>69</v>
      </c>
      <c r="M8">
        <v>0.4</v>
      </c>
      <c r="P8">
        <v>2</v>
      </c>
      <c r="Q8">
        <v>8.4499999999999993</v>
      </c>
      <c r="R8">
        <v>13.04</v>
      </c>
      <c r="S8">
        <f t="shared" si="5"/>
        <v>21.49</v>
      </c>
    </row>
    <row r="9" spans="1:19" x14ac:dyDescent="0.3">
      <c r="A9" s="10">
        <v>2000</v>
      </c>
      <c r="B9">
        <v>4</v>
      </c>
      <c r="D9">
        <v>55.28</v>
      </c>
      <c r="F9">
        <f t="shared" si="1"/>
        <v>35.164999999999999</v>
      </c>
      <c r="G9" s="1">
        <f t="shared" si="2"/>
        <v>0</v>
      </c>
      <c r="H9" s="7">
        <f t="shared" si="0"/>
        <v>150</v>
      </c>
      <c r="I9" s="6">
        <f t="shared" si="3"/>
        <v>5274.75</v>
      </c>
      <c r="J9" s="6">
        <f t="shared" si="4"/>
        <v>0</v>
      </c>
      <c r="L9" t="s">
        <v>69</v>
      </c>
      <c r="M9">
        <v>0.4</v>
      </c>
      <c r="P9">
        <v>2.5</v>
      </c>
      <c r="Q9">
        <v>11.52</v>
      </c>
      <c r="R9">
        <v>17.2</v>
      </c>
      <c r="S9">
        <f t="shared" si="5"/>
        <v>28.72</v>
      </c>
    </row>
    <row r="10" spans="1:19" x14ac:dyDescent="0.3">
      <c r="A10" s="10">
        <v>2150</v>
      </c>
      <c r="B10">
        <v>1.5</v>
      </c>
      <c r="D10">
        <v>15.049999999999999</v>
      </c>
      <c r="F10">
        <f t="shared" si="1"/>
        <v>25.894999999999996</v>
      </c>
      <c r="G10" s="1">
        <f t="shared" si="2"/>
        <v>0</v>
      </c>
      <c r="H10" s="7">
        <f t="shared" si="0"/>
        <v>50</v>
      </c>
      <c r="I10" s="6">
        <f t="shared" si="3"/>
        <v>1294.7499999999998</v>
      </c>
      <c r="J10" s="6">
        <f t="shared" si="4"/>
        <v>0</v>
      </c>
      <c r="L10" t="s">
        <v>69</v>
      </c>
      <c r="M10">
        <v>0.4</v>
      </c>
      <c r="P10">
        <v>3</v>
      </c>
      <c r="Q10">
        <v>14.93</v>
      </c>
      <c r="R10">
        <v>21.81</v>
      </c>
      <c r="S10">
        <f t="shared" si="5"/>
        <v>36.739999999999995</v>
      </c>
    </row>
    <row r="11" spans="1:19" x14ac:dyDescent="0.3">
      <c r="A11" s="10">
        <v>2200</v>
      </c>
      <c r="B11">
        <v>3</v>
      </c>
      <c r="D11">
        <v>36.739999999999995</v>
      </c>
      <c r="F11">
        <f t="shared" si="1"/>
        <v>22.038999999999998</v>
      </c>
      <c r="G11" s="1">
        <f t="shared" si="2"/>
        <v>0</v>
      </c>
      <c r="H11" s="7">
        <f t="shared" si="0"/>
        <v>200</v>
      </c>
      <c r="I11" s="6">
        <f t="shared" si="3"/>
        <v>4407.7999999999993</v>
      </c>
      <c r="J11" s="6">
        <f t="shared" si="4"/>
        <v>0</v>
      </c>
      <c r="P11">
        <v>3.5</v>
      </c>
      <c r="Q11">
        <v>18.649999999999999</v>
      </c>
      <c r="R11">
        <v>26.85</v>
      </c>
      <c r="S11">
        <f t="shared" si="5"/>
        <v>45.5</v>
      </c>
    </row>
    <row r="12" spans="1:19" x14ac:dyDescent="0.3">
      <c r="A12" s="10">
        <v>2400</v>
      </c>
      <c r="B12">
        <v>0.8</v>
      </c>
      <c r="D12">
        <v>7.3380000000000001</v>
      </c>
      <c r="F12">
        <f t="shared" si="1"/>
        <v>3.669</v>
      </c>
      <c r="G12" s="1">
        <f t="shared" si="2"/>
        <v>9.6069999999999993</v>
      </c>
      <c r="H12" s="7">
        <f t="shared" si="0"/>
        <v>100</v>
      </c>
      <c r="I12" s="6">
        <f t="shared" si="3"/>
        <v>366.9</v>
      </c>
      <c r="J12" s="6">
        <f t="shared" si="4"/>
        <v>960.69999999999993</v>
      </c>
      <c r="P12">
        <v>4</v>
      </c>
      <c r="Q12">
        <v>22.71</v>
      </c>
      <c r="R12">
        <v>32.33</v>
      </c>
      <c r="S12">
        <f t="shared" si="5"/>
        <v>55.04</v>
      </c>
    </row>
    <row r="13" spans="1:19" x14ac:dyDescent="0.3">
      <c r="A13" s="10">
        <v>2500</v>
      </c>
      <c r="C13">
        <v>2.2999999999999998</v>
      </c>
      <c r="E13" s="6">
        <v>19.213999999999999</v>
      </c>
      <c r="F13">
        <f t="shared" si="1"/>
        <v>10.744999999999999</v>
      </c>
      <c r="G13" s="1">
        <f t="shared" si="2"/>
        <v>9.6069999999999993</v>
      </c>
      <c r="H13" s="7">
        <f t="shared" si="0"/>
        <v>100</v>
      </c>
      <c r="I13" s="6">
        <f t="shared" si="3"/>
        <v>1074.5</v>
      </c>
      <c r="J13" s="6">
        <f t="shared" si="4"/>
        <v>960.69999999999993</v>
      </c>
      <c r="P13">
        <v>4.5</v>
      </c>
      <c r="Q13">
        <v>27.09</v>
      </c>
      <c r="R13">
        <v>38.26</v>
      </c>
      <c r="S13">
        <f t="shared" si="5"/>
        <v>65.349999999999994</v>
      </c>
    </row>
    <row r="14" spans="1:19" x14ac:dyDescent="0.3">
      <c r="A14" s="10">
        <v>2600</v>
      </c>
      <c r="B14">
        <v>2</v>
      </c>
      <c r="D14">
        <v>21.49</v>
      </c>
      <c r="F14">
        <f t="shared" si="1"/>
        <v>15.424999999999999</v>
      </c>
      <c r="G14" s="1">
        <f t="shared" si="2"/>
        <v>0</v>
      </c>
      <c r="H14" s="7">
        <f t="shared" si="0"/>
        <v>200</v>
      </c>
      <c r="I14" s="6">
        <f t="shared" si="3"/>
        <v>3085</v>
      </c>
      <c r="J14" s="6">
        <f t="shared" si="4"/>
        <v>0</v>
      </c>
      <c r="P14">
        <v>5</v>
      </c>
      <c r="Q14">
        <v>31.8</v>
      </c>
      <c r="R14">
        <v>44.63</v>
      </c>
      <c r="S14">
        <f t="shared" si="5"/>
        <v>76.430000000000007</v>
      </c>
    </row>
    <row r="15" spans="1:19" x14ac:dyDescent="0.3">
      <c r="A15" s="10">
        <v>2800</v>
      </c>
      <c r="B15">
        <v>1</v>
      </c>
      <c r="D15">
        <v>9.36</v>
      </c>
      <c r="F15">
        <f t="shared" si="1"/>
        <v>4.68</v>
      </c>
      <c r="G15" s="1">
        <f t="shared" si="2"/>
        <v>22.799999999999997</v>
      </c>
      <c r="H15" s="7">
        <f t="shared" si="0"/>
        <v>125</v>
      </c>
      <c r="I15" s="6">
        <f t="shared" si="3"/>
        <v>585</v>
      </c>
      <c r="J15" s="6">
        <f t="shared" si="4"/>
        <v>2849.9999999999995</v>
      </c>
      <c r="L15" t="s">
        <v>69</v>
      </c>
      <c r="M15">
        <v>0.4</v>
      </c>
      <c r="P15">
        <v>7</v>
      </c>
      <c r="Q15">
        <v>53.88</v>
      </c>
      <c r="R15">
        <v>74.510000000000005</v>
      </c>
      <c r="S15">
        <f t="shared" si="5"/>
        <v>128.39000000000001</v>
      </c>
    </row>
    <row r="16" spans="1:19" x14ac:dyDescent="0.3">
      <c r="A16" s="10">
        <v>2925</v>
      </c>
      <c r="C16">
        <v>5</v>
      </c>
      <c r="E16" s="6">
        <v>45.599999999999994</v>
      </c>
      <c r="F16">
        <f t="shared" si="1"/>
        <v>0</v>
      </c>
      <c r="G16" s="1">
        <f t="shared" si="2"/>
        <v>33.244999999999997</v>
      </c>
      <c r="H16" s="7">
        <f t="shared" si="0"/>
        <v>75</v>
      </c>
      <c r="I16" s="6">
        <f t="shared" si="3"/>
        <v>0</v>
      </c>
      <c r="J16" s="6">
        <f t="shared" si="4"/>
        <v>2493.375</v>
      </c>
      <c r="L16" t="s">
        <v>69</v>
      </c>
      <c r="M16">
        <v>0.4</v>
      </c>
      <c r="P16">
        <v>8</v>
      </c>
      <c r="Q16">
        <v>66.88</v>
      </c>
      <c r="R16">
        <v>92.1</v>
      </c>
      <c r="S16">
        <f t="shared" si="5"/>
        <v>158.97999999999999</v>
      </c>
    </row>
    <row r="17" spans="1:19" x14ac:dyDescent="0.3">
      <c r="A17" s="10">
        <v>3000</v>
      </c>
      <c r="C17">
        <v>2.5</v>
      </c>
      <c r="E17" s="6">
        <v>20.89</v>
      </c>
      <c r="F17">
        <f t="shared" si="1"/>
        <v>0</v>
      </c>
      <c r="G17" s="1">
        <f t="shared" si="2"/>
        <v>15.874000000000001</v>
      </c>
      <c r="H17" s="7">
        <f t="shared" si="0"/>
        <v>200</v>
      </c>
      <c r="I17" s="6">
        <f t="shared" si="3"/>
        <v>0</v>
      </c>
      <c r="J17" s="6">
        <f t="shared" si="4"/>
        <v>3174.8</v>
      </c>
      <c r="L17" t="s">
        <v>69</v>
      </c>
      <c r="M17">
        <v>0.4</v>
      </c>
    </row>
    <row r="18" spans="1:19" x14ac:dyDescent="0.3">
      <c r="A18" s="10">
        <v>3200</v>
      </c>
      <c r="C18">
        <v>1.3</v>
      </c>
      <c r="E18" s="6">
        <v>10.858000000000001</v>
      </c>
      <c r="F18">
        <f t="shared" si="1"/>
        <v>0.40500000000000003</v>
      </c>
      <c r="G18" s="1">
        <f t="shared" si="2"/>
        <v>5.7140000000000004</v>
      </c>
      <c r="H18" s="7">
        <f t="shared" si="0"/>
        <v>200</v>
      </c>
      <c r="I18" s="6">
        <f t="shared" si="3"/>
        <v>81</v>
      </c>
      <c r="J18" s="6">
        <f t="shared" si="4"/>
        <v>1142.8000000000002</v>
      </c>
      <c r="L18" t="s">
        <v>69</v>
      </c>
      <c r="M18">
        <v>0.4</v>
      </c>
      <c r="P18" t="s">
        <v>75</v>
      </c>
      <c r="Q18">
        <v>-0.1</v>
      </c>
      <c r="R18">
        <v>0.1</v>
      </c>
      <c r="S18" t="s">
        <v>73</v>
      </c>
    </row>
    <row r="19" spans="1:19" x14ac:dyDescent="0.3">
      <c r="A19" s="10">
        <v>3400</v>
      </c>
      <c r="B19">
        <v>0</v>
      </c>
      <c r="D19">
        <v>0.81</v>
      </c>
      <c r="E19" s="6">
        <v>0.56999999999999995</v>
      </c>
      <c r="F19">
        <f t="shared" si="1"/>
        <v>5.0999999999999996</v>
      </c>
      <c r="G19" s="1">
        <f t="shared" si="2"/>
        <v>0.28499999999999998</v>
      </c>
      <c r="H19" s="7">
        <f t="shared" si="0"/>
        <v>200</v>
      </c>
      <c r="I19" s="6">
        <f t="shared" si="3"/>
        <v>1019.9999999999999</v>
      </c>
      <c r="J19" s="6">
        <f t="shared" si="4"/>
        <v>56.999999999999993</v>
      </c>
      <c r="P19">
        <v>0</v>
      </c>
      <c r="Q19">
        <v>-0.74</v>
      </c>
      <c r="R19">
        <v>0</v>
      </c>
      <c r="S19">
        <f>SUM(Q19:R19)</f>
        <v>-0.74</v>
      </c>
    </row>
    <row r="20" spans="1:19" x14ac:dyDescent="0.3">
      <c r="A20" s="10">
        <v>3600</v>
      </c>
      <c r="B20">
        <v>1</v>
      </c>
      <c r="D20">
        <v>9.3899999999999988</v>
      </c>
      <c r="F20">
        <f t="shared" si="1"/>
        <v>9.3899999999999988</v>
      </c>
      <c r="G20" s="1">
        <f t="shared" si="2"/>
        <v>0</v>
      </c>
      <c r="H20" s="7">
        <f t="shared" si="0"/>
        <v>200</v>
      </c>
      <c r="I20" s="6">
        <f t="shared" si="3"/>
        <v>1877.9999999999998</v>
      </c>
      <c r="J20" s="6">
        <f t="shared" si="4"/>
        <v>0</v>
      </c>
      <c r="L20" t="s">
        <v>69</v>
      </c>
      <c r="M20">
        <v>0.4</v>
      </c>
      <c r="P20">
        <v>0.5</v>
      </c>
      <c r="Q20">
        <v>-3.05</v>
      </c>
      <c r="R20">
        <v>-1.1299999999999999</v>
      </c>
      <c r="S20">
        <f>SUM(Q20:R20)</f>
        <v>-4.18</v>
      </c>
    </row>
    <row r="21" spans="1:19" x14ac:dyDescent="0.3">
      <c r="A21" s="10">
        <v>3800</v>
      </c>
      <c r="B21">
        <v>1</v>
      </c>
      <c r="D21">
        <v>9.3899999999999988</v>
      </c>
      <c r="F21">
        <f t="shared" si="1"/>
        <v>4.6949999999999994</v>
      </c>
      <c r="G21" s="1">
        <f t="shared" si="2"/>
        <v>10.445</v>
      </c>
      <c r="H21" s="7">
        <f t="shared" si="0"/>
        <v>200</v>
      </c>
      <c r="I21" s="6">
        <f t="shared" si="3"/>
        <v>938.99999999999989</v>
      </c>
      <c r="J21" s="6">
        <f t="shared" si="4"/>
        <v>2089</v>
      </c>
      <c r="L21" t="s">
        <v>69</v>
      </c>
      <c r="M21">
        <v>0.4</v>
      </c>
      <c r="P21">
        <v>1</v>
      </c>
      <c r="Q21">
        <v>-5.8</v>
      </c>
      <c r="R21">
        <v>-2.5499999999999998</v>
      </c>
      <c r="S21">
        <f t="shared" ref="S21:S32" si="6">SUM(Q21:R21)</f>
        <v>-8.35</v>
      </c>
    </row>
    <row r="22" spans="1:19" x14ac:dyDescent="0.3">
      <c r="A22" s="10">
        <v>4000</v>
      </c>
      <c r="C22">
        <v>2.5</v>
      </c>
      <c r="E22" s="6">
        <v>20.89</v>
      </c>
      <c r="F22">
        <f t="shared" si="1"/>
        <v>0</v>
      </c>
      <c r="G22" s="1">
        <f t="shared" si="2"/>
        <v>34.180000000000007</v>
      </c>
      <c r="H22" s="7">
        <f t="shared" si="0"/>
        <v>200</v>
      </c>
      <c r="I22" s="6">
        <f t="shared" si="3"/>
        <v>0</v>
      </c>
      <c r="J22" s="6">
        <f t="shared" si="4"/>
        <v>6836.0000000000018</v>
      </c>
      <c r="L22" t="s">
        <v>69</v>
      </c>
      <c r="M22">
        <v>0.4</v>
      </c>
      <c r="P22">
        <v>1.5</v>
      </c>
      <c r="Q22">
        <v>-8.99</v>
      </c>
      <c r="R22">
        <v>-3.54</v>
      </c>
      <c r="S22">
        <f t="shared" si="6"/>
        <v>-12.530000000000001</v>
      </c>
    </row>
    <row r="23" spans="1:19" x14ac:dyDescent="0.3">
      <c r="A23" s="11">
        <v>4200</v>
      </c>
      <c r="B23" s="12"/>
      <c r="C23" s="12">
        <v>4.2</v>
      </c>
      <c r="D23" s="12"/>
      <c r="E23" s="13">
        <v>47.470000000000013</v>
      </c>
      <c r="F23" s="12">
        <f t="shared" si="1"/>
        <v>0</v>
      </c>
      <c r="G23" s="15">
        <f t="shared" si="2"/>
        <v>223.01000000000002</v>
      </c>
      <c r="H23" s="14">
        <f t="shared" si="0"/>
        <v>200</v>
      </c>
      <c r="I23" s="13">
        <f t="shared" si="3"/>
        <v>0</v>
      </c>
      <c r="J23" s="13">
        <f t="shared" si="4"/>
        <v>44602.000000000007</v>
      </c>
      <c r="K23" s="12" t="str" cm="1">
        <f t="array" ref="K23">tongji(I3:J23)</f>
        <v>本页路堤 51012,路堑65223</v>
      </c>
      <c r="L23" s="12" t="s">
        <v>69</v>
      </c>
      <c r="M23" s="12">
        <v>0.4</v>
      </c>
      <c r="P23">
        <v>2</v>
      </c>
      <c r="Q23">
        <v>-12.62</v>
      </c>
      <c r="R23">
        <v>-4.08</v>
      </c>
      <c r="S23">
        <f t="shared" si="6"/>
        <v>-16.7</v>
      </c>
    </row>
    <row r="24" spans="1:19" x14ac:dyDescent="0.3">
      <c r="A24" s="10">
        <v>4400</v>
      </c>
      <c r="C24">
        <v>15</v>
      </c>
      <c r="E24" s="6">
        <v>398.55</v>
      </c>
      <c r="F24">
        <v>0</v>
      </c>
      <c r="G24" s="1">
        <v>0</v>
      </c>
      <c r="H24" s="14">
        <f t="shared" si="0"/>
        <v>2200</v>
      </c>
      <c r="I24" s="13">
        <f t="shared" si="3"/>
        <v>0</v>
      </c>
      <c r="J24" s="13">
        <f t="shared" si="4"/>
        <v>0</v>
      </c>
      <c r="L24" t="s">
        <v>71</v>
      </c>
      <c r="P24">
        <v>2.5</v>
      </c>
      <c r="Q24">
        <v>-16.7</v>
      </c>
      <c r="R24">
        <v>-4.1900000000000004</v>
      </c>
      <c r="S24">
        <f t="shared" si="6"/>
        <v>-20.89</v>
      </c>
    </row>
    <row r="25" spans="1:19" x14ac:dyDescent="0.3">
      <c r="A25" s="10">
        <v>6600</v>
      </c>
      <c r="C25">
        <v>16</v>
      </c>
      <c r="E25" s="6">
        <v>453.25</v>
      </c>
      <c r="F25">
        <f t="shared" si="1"/>
        <v>0</v>
      </c>
      <c r="G25" s="1">
        <f t="shared" si="2"/>
        <v>315.60000000000002</v>
      </c>
      <c r="H25" s="7">
        <f t="shared" si="0"/>
        <v>200</v>
      </c>
      <c r="I25" s="6">
        <f t="shared" si="3"/>
        <v>0</v>
      </c>
      <c r="J25" s="6">
        <f t="shared" si="4"/>
        <v>63120.000000000007</v>
      </c>
      <c r="P25">
        <v>3</v>
      </c>
      <c r="Q25">
        <v>-21.21</v>
      </c>
      <c r="R25">
        <v>-3.85</v>
      </c>
      <c r="S25">
        <f t="shared" si="6"/>
        <v>-25.060000000000002</v>
      </c>
    </row>
    <row r="26" spans="1:19" x14ac:dyDescent="0.3">
      <c r="A26" s="10">
        <v>6800</v>
      </c>
      <c r="C26">
        <v>10</v>
      </c>
      <c r="E26" s="6">
        <v>177.95000000000002</v>
      </c>
      <c r="F26">
        <f t="shared" si="1"/>
        <v>0</v>
      </c>
      <c r="G26" s="1">
        <f t="shared" si="2"/>
        <v>97.325200000000009</v>
      </c>
      <c r="H26" s="7">
        <f t="shared" si="0"/>
        <v>200</v>
      </c>
      <c r="I26" s="6">
        <f t="shared" si="3"/>
        <v>0</v>
      </c>
      <c r="J26" s="6">
        <f t="shared" si="4"/>
        <v>19465.04</v>
      </c>
      <c r="L26" t="s">
        <v>69</v>
      </c>
      <c r="M26">
        <v>0.2</v>
      </c>
      <c r="P26">
        <v>3.5</v>
      </c>
      <c r="Q26">
        <v>-26.17</v>
      </c>
      <c r="R26">
        <v>-3.07</v>
      </c>
      <c r="S26">
        <f t="shared" si="6"/>
        <v>-29.240000000000002</v>
      </c>
    </row>
    <row r="27" spans="1:19" x14ac:dyDescent="0.3">
      <c r="A27" s="10">
        <v>7000</v>
      </c>
      <c r="C27">
        <v>2</v>
      </c>
      <c r="E27" s="6">
        <v>16.700399999999998</v>
      </c>
      <c r="F27">
        <f t="shared" si="1"/>
        <v>4.6749999999999989</v>
      </c>
      <c r="G27" s="1">
        <f t="shared" si="2"/>
        <v>8.3501999999999992</v>
      </c>
      <c r="H27" s="7">
        <f t="shared" si="0"/>
        <v>200</v>
      </c>
      <c r="I27" s="6">
        <f t="shared" si="3"/>
        <v>934.99999999999977</v>
      </c>
      <c r="J27" s="6">
        <f t="shared" si="4"/>
        <v>1670.0399999999997</v>
      </c>
      <c r="L27" t="s">
        <v>69</v>
      </c>
      <c r="M27">
        <v>0.2</v>
      </c>
      <c r="P27">
        <v>4</v>
      </c>
      <c r="Q27">
        <v>-31.56</v>
      </c>
      <c r="R27">
        <v>-1.85</v>
      </c>
      <c r="S27">
        <f t="shared" si="6"/>
        <v>-33.409999999999997</v>
      </c>
    </row>
    <row r="28" spans="1:19" x14ac:dyDescent="0.3">
      <c r="A28" s="10">
        <v>7200</v>
      </c>
      <c r="B28">
        <v>1</v>
      </c>
      <c r="D28">
        <v>9.3499999999999979</v>
      </c>
      <c r="F28">
        <f t="shared" si="1"/>
        <v>4.6749999999999989</v>
      </c>
      <c r="G28" s="1">
        <f t="shared" si="2"/>
        <v>6.2650000000000006</v>
      </c>
      <c r="H28" s="7">
        <f t="shared" si="0"/>
        <v>200</v>
      </c>
      <c r="I28" s="6">
        <f t="shared" si="3"/>
        <v>934.99999999999977</v>
      </c>
      <c r="J28" s="6">
        <f t="shared" si="4"/>
        <v>1253</v>
      </c>
      <c r="L28" t="s">
        <v>69</v>
      </c>
      <c r="M28">
        <v>0.2</v>
      </c>
      <c r="P28">
        <v>4.5</v>
      </c>
      <c r="Q28">
        <v>-37.4</v>
      </c>
      <c r="R28">
        <v>-31.16</v>
      </c>
      <c r="S28">
        <f t="shared" si="6"/>
        <v>-68.56</v>
      </c>
    </row>
    <row r="29" spans="1:19" x14ac:dyDescent="0.3">
      <c r="A29" s="10">
        <v>7400</v>
      </c>
      <c r="C29">
        <v>1.5</v>
      </c>
      <c r="E29" s="6">
        <v>12.530000000000001</v>
      </c>
      <c r="F29">
        <f t="shared" si="1"/>
        <v>0</v>
      </c>
      <c r="G29" s="1">
        <f t="shared" si="2"/>
        <v>10.440000000000001</v>
      </c>
      <c r="H29" s="7">
        <f t="shared" si="0"/>
        <v>200</v>
      </c>
      <c r="I29" s="6">
        <f t="shared" si="3"/>
        <v>0</v>
      </c>
      <c r="J29" s="6">
        <f t="shared" si="4"/>
        <v>2088.0000000000005</v>
      </c>
      <c r="L29" t="s">
        <v>69</v>
      </c>
      <c r="M29">
        <v>0.2</v>
      </c>
      <c r="P29">
        <v>5</v>
      </c>
      <c r="Q29">
        <v>-43.68</v>
      </c>
      <c r="R29">
        <v>-1.92</v>
      </c>
      <c r="S29">
        <f t="shared" si="6"/>
        <v>-45.6</v>
      </c>
    </row>
    <row r="30" spans="1:19" x14ac:dyDescent="0.3">
      <c r="A30" s="10">
        <v>7600</v>
      </c>
      <c r="C30">
        <v>1</v>
      </c>
      <c r="E30" s="6">
        <v>8.35</v>
      </c>
      <c r="F30">
        <f t="shared" si="1"/>
        <v>0</v>
      </c>
      <c r="G30" s="1">
        <f t="shared" si="2"/>
        <v>8.35</v>
      </c>
      <c r="H30" s="7">
        <f t="shared" si="0"/>
        <v>200</v>
      </c>
      <c r="I30" s="6">
        <f t="shared" si="3"/>
        <v>0</v>
      </c>
      <c r="J30" s="6">
        <f t="shared" si="4"/>
        <v>1670</v>
      </c>
      <c r="L30" t="s">
        <v>69</v>
      </c>
      <c r="M30">
        <v>0.2</v>
      </c>
      <c r="P30">
        <v>10</v>
      </c>
      <c r="Q30">
        <v>-130.74</v>
      </c>
      <c r="R30">
        <v>-47.21</v>
      </c>
      <c r="S30">
        <f t="shared" si="6"/>
        <v>-177.95000000000002</v>
      </c>
    </row>
    <row r="31" spans="1:19" x14ac:dyDescent="0.3">
      <c r="A31" s="10">
        <v>7800</v>
      </c>
      <c r="C31">
        <v>1</v>
      </c>
      <c r="E31" s="6">
        <v>8.35</v>
      </c>
      <c r="F31">
        <f t="shared" si="1"/>
        <v>0</v>
      </c>
      <c r="G31" s="1">
        <f t="shared" si="2"/>
        <v>16.705000000000002</v>
      </c>
      <c r="H31" s="7">
        <f t="shared" si="0"/>
        <v>200</v>
      </c>
      <c r="I31" s="6">
        <f t="shared" si="3"/>
        <v>0</v>
      </c>
      <c r="J31" s="6">
        <f t="shared" si="4"/>
        <v>3341.0000000000005</v>
      </c>
      <c r="P31">
        <v>15</v>
      </c>
      <c r="Q31">
        <v>-261.92</v>
      </c>
      <c r="R31">
        <v>-136.63</v>
      </c>
      <c r="S31">
        <f t="shared" si="6"/>
        <v>-398.55</v>
      </c>
    </row>
    <row r="32" spans="1:19" x14ac:dyDescent="0.3">
      <c r="A32" s="10">
        <v>8000</v>
      </c>
      <c r="C32">
        <v>3</v>
      </c>
      <c r="E32" s="6">
        <v>25.060000000000002</v>
      </c>
      <c r="F32">
        <f t="shared" si="1"/>
        <v>0</v>
      </c>
      <c r="G32" s="1">
        <f t="shared" si="2"/>
        <v>20.880000000000003</v>
      </c>
      <c r="H32" s="7">
        <f t="shared" si="0"/>
        <v>200</v>
      </c>
      <c r="I32" s="6">
        <f t="shared" si="3"/>
        <v>0</v>
      </c>
      <c r="J32" s="6">
        <f t="shared" si="4"/>
        <v>4176.0000000000009</v>
      </c>
      <c r="P32">
        <v>16</v>
      </c>
      <c r="Q32">
        <v>-293.45</v>
      </c>
      <c r="R32">
        <v>-159.80000000000001</v>
      </c>
      <c r="S32">
        <f t="shared" si="6"/>
        <v>-453.25</v>
      </c>
    </row>
    <row r="33" spans="1:19" x14ac:dyDescent="0.3">
      <c r="A33" s="10">
        <v>8200</v>
      </c>
      <c r="C33">
        <v>2</v>
      </c>
      <c r="E33" s="6">
        <v>16.7</v>
      </c>
      <c r="F33">
        <f>(D33+D34)/2</f>
        <v>0</v>
      </c>
      <c r="G33" s="1">
        <f>(E33+E34)/2</f>
        <v>87.839999999999989</v>
      </c>
      <c r="H33" s="10">
        <f t="shared" si="0"/>
        <v>125</v>
      </c>
      <c r="I33" s="6">
        <f t="shared" si="3"/>
        <v>0</v>
      </c>
      <c r="J33" s="6">
        <f t="shared" si="4"/>
        <v>10979.999999999998</v>
      </c>
    </row>
    <row r="34" spans="1:19" x14ac:dyDescent="0.3">
      <c r="A34" s="10">
        <v>8325</v>
      </c>
      <c r="C34">
        <v>8</v>
      </c>
      <c r="E34" s="6">
        <v>158.97999999999999</v>
      </c>
      <c r="F34">
        <v>0</v>
      </c>
      <c r="G34" s="1">
        <v>0</v>
      </c>
      <c r="H34" s="10">
        <f t="shared" si="0"/>
        <v>125</v>
      </c>
      <c r="I34" s="6">
        <f t="shared" ref="I34" si="7">F34*H34</f>
        <v>0</v>
      </c>
      <c r="J34" s="6">
        <f t="shared" ref="J34" si="8">G34*H34</f>
        <v>0</v>
      </c>
      <c r="L34" t="s">
        <v>72</v>
      </c>
    </row>
    <row r="35" spans="1:19" x14ac:dyDescent="0.3">
      <c r="A35" s="10">
        <v>8450</v>
      </c>
      <c r="B35">
        <v>7</v>
      </c>
      <c r="D35">
        <v>128.81</v>
      </c>
      <c r="F35">
        <f t="shared" si="1"/>
        <v>92.085000000000008</v>
      </c>
      <c r="G35" s="1">
        <f t="shared" si="2"/>
        <v>0</v>
      </c>
      <c r="H35" s="10">
        <f t="shared" ref="H35:H60" si="9">A36-A35</f>
        <v>150</v>
      </c>
      <c r="I35" s="6">
        <f t="shared" si="3"/>
        <v>13812.750000000002</v>
      </c>
      <c r="J35" s="6">
        <f t="shared" si="4"/>
        <v>0</v>
      </c>
      <c r="L35" t="s">
        <v>69</v>
      </c>
      <c r="M35">
        <v>0.4</v>
      </c>
    </row>
    <row r="36" spans="1:19" x14ac:dyDescent="0.3">
      <c r="A36" s="10">
        <v>8600</v>
      </c>
      <c r="B36">
        <v>4</v>
      </c>
      <c r="D36">
        <v>55.36</v>
      </c>
      <c r="F36">
        <f t="shared" si="1"/>
        <v>46.17</v>
      </c>
      <c r="G36" s="1">
        <f t="shared" si="2"/>
        <v>0</v>
      </c>
      <c r="H36" s="7">
        <f t="shared" si="9"/>
        <v>200</v>
      </c>
      <c r="I36" s="6">
        <f t="shared" si="3"/>
        <v>9234</v>
      </c>
      <c r="J36" s="6">
        <f t="shared" si="4"/>
        <v>0</v>
      </c>
      <c r="L36" t="s">
        <v>69</v>
      </c>
      <c r="M36">
        <v>0.4</v>
      </c>
    </row>
    <row r="37" spans="1:19" x14ac:dyDescent="0.3">
      <c r="A37" s="10">
        <v>8800</v>
      </c>
      <c r="B37">
        <v>3</v>
      </c>
      <c r="D37">
        <v>36.979999999999997</v>
      </c>
      <c r="F37">
        <f t="shared" si="1"/>
        <v>18.895</v>
      </c>
      <c r="G37" s="1">
        <f t="shared" si="2"/>
        <v>0.28499999999999998</v>
      </c>
      <c r="H37" s="7">
        <f t="shared" si="9"/>
        <v>200</v>
      </c>
      <c r="I37" s="6">
        <f t="shared" si="3"/>
        <v>3779</v>
      </c>
      <c r="J37" s="6">
        <f t="shared" si="4"/>
        <v>56.999999999999993</v>
      </c>
      <c r="L37" t="s">
        <v>69</v>
      </c>
      <c r="M37">
        <v>0.4</v>
      </c>
      <c r="P37">
        <v>4.2</v>
      </c>
      <c r="Q37" cm="1">
        <f t="array" ref="Q37">xxnc(P27:P28,Q27:Q28,P37)</f>
        <v>-33.896000000000001</v>
      </c>
      <c r="R37" cm="1">
        <f t="array" ref="R37">xxnc(P27:P28,R27:R28,P37)</f>
        <v>-13.574000000000009</v>
      </c>
      <c r="S37">
        <f>SUM(Q37:R37)</f>
        <v>-47.470000000000013</v>
      </c>
    </row>
    <row r="38" spans="1:19" x14ac:dyDescent="0.3">
      <c r="A38" s="10">
        <v>9000</v>
      </c>
      <c r="B38">
        <v>0</v>
      </c>
      <c r="D38">
        <v>0.81</v>
      </c>
      <c r="E38" s="6">
        <v>0.56999999999999995</v>
      </c>
      <c r="F38">
        <f t="shared" si="1"/>
        <v>0.40500000000000003</v>
      </c>
      <c r="G38" s="1">
        <f t="shared" si="2"/>
        <v>5.7140000000000004</v>
      </c>
      <c r="H38" s="7">
        <f t="shared" si="9"/>
        <v>200</v>
      </c>
      <c r="I38" s="6">
        <f t="shared" si="3"/>
        <v>81</v>
      </c>
      <c r="J38" s="6">
        <f t="shared" si="4"/>
        <v>1142.8000000000002</v>
      </c>
    </row>
    <row r="39" spans="1:19" x14ac:dyDescent="0.3">
      <c r="A39" s="10">
        <v>9200</v>
      </c>
      <c r="C39">
        <v>1.3</v>
      </c>
      <c r="E39" s="6">
        <v>10.858000000000001</v>
      </c>
      <c r="F39">
        <f t="shared" si="1"/>
        <v>0</v>
      </c>
      <c r="G39" s="1">
        <f t="shared" si="2"/>
        <v>5.7990000000000004</v>
      </c>
      <c r="H39" s="7">
        <f t="shared" si="9"/>
        <v>200</v>
      </c>
      <c r="I39" s="6">
        <f t="shared" si="3"/>
        <v>0</v>
      </c>
      <c r="J39" s="6">
        <f t="shared" si="4"/>
        <v>1159.8000000000002</v>
      </c>
    </row>
    <row r="40" spans="1:19" x14ac:dyDescent="0.3">
      <c r="A40" s="10">
        <v>9400</v>
      </c>
      <c r="C40">
        <v>0</v>
      </c>
      <c r="E40" s="6">
        <v>0.74</v>
      </c>
      <c r="F40">
        <f t="shared" si="1"/>
        <v>0</v>
      </c>
      <c r="G40" s="1">
        <f t="shared" si="2"/>
        <v>2.46</v>
      </c>
      <c r="H40" s="7">
        <f t="shared" si="9"/>
        <v>200</v>
      </c>
      <c r="I40" s="6">
        <f t="shared" si="3"/>
        <v>0</v>
      </c>
      <c r="J40" s="6">
        <f t="shared" si="4"/>
        <v>492</v>
      </c>
      <c r="L40" t="s">
        <v>69</v>
      </c>
      <c r="M40">
        <v>0.2</v>
      </c>
    </row>
    <row r="41" spans="1:19" x14ac:dyDescent="0.3">
      <c r="A41" s="10">
        <v>9600</v>
      </c>
      <c r="C41">
        <v>0.5</v>
      </c>
      <c r="E41" s="6">
        <v>4.18</v>
      </c>
      <c r="F41">
        <f t="shared" si="1"/>
        <v>0</v>
      </c>
      <c r="G41" s="1">
        <f t="shared" si="2"/>
        <v>10.44</v>
      </c>
      <c r="H41" s="7">
        <f t="shared" si="9"/>
        <v>200</v>
      </c>
      <c r="I41" s="6">
        <f t="shared" si="3"/>
        <v>0</v>
      </c>
      <c r="J41" s="6">
        <f t="shared" si="4"/>
        <v>2088</v>
      </c>
      <c r="L41" t="s">
        <v>69</v>
      </c>
      <c r="M41">
        <v>0.2</v>
      </c>
    </row>
    <row r="42" spans="1:19" x14ac:dyDescent="0.3">
      <c r="A42" s="10">
        <v>9800</v>
      </c>
      <c r="C42">
        <v>2</v>
      </c>
      <c r="E42" s="6">
        <v>16.7</v>
      </c>
      <c r="F42">
        <f t="shared" si="1"/>
        <v>0</v>
      </c>
      <c r="G42" s="1">
        <f t="shared" si="2"/>
        <v>16.7</v>
      </c>
      <c r="H42" s="7">
        <f t="shared" si="9"/>
        <v>200</v>
      </c>
      <c r="I42" s="6">
        <f t="shared" si="3"/>
        <v>0</v>
      </c>
      <c r="J42" s="6">
        <f t="shared" si="4"/>
        <v>3340</v>
      </c>
    </row>
    <row r="43" spans="1:19" x14ac:dyDescent="0.3">
      <c r="A43" s="10">
        <v>10000</v>
      </c>
      <c r="C43">
        <v>2</v>
      </c>
      <c r="E43" s="6">
        <v>16.7</v>
      </c>
      <c r="F43">
        <f t="shared" si="1"/>
        <v>0</v>
      </c>
      <c r="G43" s="1">
        <f t="shared" si="2"/>
        <v>18.795000000000002</v>
      </c>
      <c r="H43" s="7">
        <f t="shared" si="9"/>
        <v>200</v>
      </c>
      <c r="I43" s="6">
        <f t="shared" si="3"/>
        <v>0</v>
      </c>
      <c r="J43" s="6">
        <f t="shared" si="4"/>
        <v>3759.0000000000005</v>
      </c>
    </row>
    <row r="44" spans="1:19" x14ac:dyDescent="0.3">
      <c r="A44" s="10">
        <v>10200</v>
      </c>
      <c r="C44">
        <v>2.5</v>
      </c>
      <c r="E44" s="6">
        <v>20.89</v>
      </c>
      <c r="F44">
        <f t="shared" si="1"/>
        <v>0</v>
      </c>
      <c r="G44" s="1">
        <f t="shared" si="2"/>
        <v>18.795000000000002</v>
      </c>
      <c r="H44" s="7">
        <f t="shared" si="9"/>
        <v>200</v>
      </c>
      <c r="I44" s="6">
        <f t="shared" si="3"/>
        <v>0</v>
      </c>
      <c r="J44" s="6">
        <f t="shared" si="4"/>
        <v>3759.0000000000005</v>
      </c>
    </row>
    <row r="45" spans="1:19" s="12" customFormat="1" x14ac:dyDescent="0.3">
      <c r="A45" s="11">
        <v>10400</v>
      </c>
      <c r="C45" s="12">
        <v>2</v>
      </c>
      <c r="E45" s="13">
        <v>16.7</v>
      </c>
      <c r="F45" s="12">
        <f t="shared" si="1"/>
        <v>0</v>
      </c>
      <c r="G45" s="15">
        <f t="shared" si="2"/>
        <v>16.7</v>
      </c>
      <c r="H45" s="14">
        <f t="shared" si="9"/>
        <v>200</v>
      </c>
      <c r="I45" s="13">
        <f t="shared" si="3"/>
        <v>0</v>
      </c>
      <c r="J45" s="13">
        <f t="shared" si="4"/>
        <v>3340</v>
      </c>
      <c r="K45" s="12" t="str" cm="1">
        <f t="array" ref="K45">tongji(I25:J45)</f>
        <v>本页路堤 28776,路堑126900</v>
      </c>
    </row>
    <row r="46" spans="1:19" x14ac:dyDescent="0.3">
      <c r="A46" s="10">
        <v>10600</v>
      </c>
      <c r="C46">
        <v>2</v>
      </c>
      <c r="E46" s="6">
        <v>16.7</v>
      </c>
      <c r="F46">
        <f t="shared" si="1"/>
        <v>0</v>
      </c>
      <c r="G46" s="1">
        <f t="shared" si="2"/>
        <v>8.7199999999999989</v>
      </c>
      <c r="H46" s="7">
        <f t="shared" si="9"/>
        <v>200</v>
      </c>
      <c r="I46" s="6">
        <f t="shared" si="3"/>
        <v>0</v>
      </c>
      <c r="J46" s="6">
        <f t="shared" si="4"/>
        <v>1743.9999999999998</v>
      </c>
    </row>
    <row r="47" spans="1:19" x14ac:dyDescent="0.3">
      <c r="A47" s="10">
        <v>10800</v>
      </c>
      <c r="C47">
        <v>0</v>
      </c>
      <c r="E47" s="6">
        <v>0.74</v>
      </c>
      <c r="F47">
        <f t="shared" si="1"/>
        <v>7.54</v>
      </c>
      <c r="G47" s="1">
        <f t="shared" si="2"/>
        <v>0.37</v>
      </c>
      <c r="H47" s="7">
        <f t="shared" si="9"/>
        <v>200</v>
      </c>
      <c r="I47" s="6">
        <f t="shared" si="3"/>
        <v>1508</v>
      </c>
      <c r="J47" s="6">
        <f t="shared" si="4"/>
        <v>74</v>
      </c>
      <c r="L47" t="s">
        <v>69</v>
      </c>
      <c r="M47">
        <v>0.2</v>
      </c>
    </row>
    <row r="48" spans="1:19" x14ac:dyDescent="0.3">
      <c r="A48" s="10">
        <v>11000</v>
      </c>
      <c r="B48">
        <v>1.5</v>
      </c>
      <c r="D48">
        <v>15.08</v>
      </c>
      <c r="F48">
        <f t="shared" si="1"/>
        <v>30.36</v>
      </c>
      <c r="G48" s="1">
        <f t="shared" si="2"/>
        <v>0</v>
      </c>
      <c r="H48" s="7">
        <f t="shared" si="9"/>
        <v>200</v>
      </c>
      <c r="I48" s="6">
        <f t="shared" si="3"/>
        <v>6072</v>
      </c>
      <c r="J48" s="6">
        <f t="shared" si="4"/>
        <v>0</v>
      </c>
      <c r="L48" t="s">
        <v>69</v>
      </c>
      <c r="M48">
        <v>0.2</v>
      </c>
    </row>
    <row r="49" spans="1:13" x14ac:dyDescent="0.3">
      <c r="A49" s="10">
        <v>11200</v>
      </c>
      <c r="B49">
        <v>3.5</v>
      </c>
      <c r="D49">
        <v>45.64</v>
      </c>
      <c r="F49">
        <f t="shared" si="1"/>
        <v>37.230000000000004</v>
      </c>
      <c r="G49" s="1">
        <f t="shared" si="2"/>
        <v>0</v>
      </c>
      <c r="H49" s="7">
        <f t="shared" si="9"/>
        <v>200</v>
      </c>
      <c r="I49" s="6">
        <f t="shared" si="3"/>
        <v>7446.0000000000009</v>
      </c>
      <c r="J49" s="6">
        <f t="shared" si="4"/>
        <v>0</v>
      </c>
      <c r="L49" t="s">
        <v>69</v>
      </c>
      <c r="M49">
        <v>0.2</v>
      </c>
    </row>
    <row r="50" spans="1:13" x14ac:dyDescent="0.3">
      <c r="A50" s="10">
        <v>11400</v>
      </c>
      <c r="B50">
        <v>2.5</v>
      </c>
      <c r="D50">
        <v>28.82</v>
      </c>
      <c r="F50">
        <f t="shared" si="1"/>
        <v>14.41</v>
      </c>
      <c r="G50" s="1">
        <f t="shared" si="2"/>
        <v>12.531500000000001</v>
      </c>
      <c r="H50" s="7">
        <f t="shared" si="9"/>
        <v>200</v>
      </c>
      <c r="I50" s="6">
        <f t="shared" si="3"/>
        <v>2882</v>
      </c>
      <c r="J50" s="6">
        <f t="shared" si="4"/>
        <v>2506.3000000000002</v>
      </c>
      <c r="L50" t="s">
        <v>69</v>
      </c>
      <c r="M50">
        <v>0.2</v>
      </c>
    </row>
    <row r="51" spans="1:13" x14ac:dyDescent="0.3">
      <c r="A51" s="10">
        <v>11600</v>
      </c>
      <c r="C51">
        <v>3</v>
      </c>
      <c r="E51" s="6">
        <v>25.063000000000002</v>
      </c>
      <c r="F51">
        <f t="shared" si="1"/>
        <v>38.215000000000003</v>
      </c>
      <c r="G51" s="1">
        <f t="shared" si="2"/>
        <v>12.531500000000001</v>
      </c>
      <c r="H51" s="7">
        <f t="shared" si="9"/>
        <v>200</v>
      </c>
      <c r="I51" s="6">
        <f t="shared" si="3"/>
        <v>7643.0000000000009</v>
      </c>
      <c r="J51" s="6">
        <f t="shared" si="4"/>
        <v>2506.3000000000002</v>
      </c>
      <c r="L51" t="s">
        <v>69</v>
      </c>
      <c r="M51">
        <v>0.2</v>
      </c>
    </row>
    <row r="52" spans="1:13" x14ac:dyDescent="0.3">
      <c r="A52" s="10">
        <v>11800</v>
      </c>
      <c r="B52">
        <v>5</v>
      </c>
      <c r="D52">
        <v>76.430000000000007</v>
      </c>
      <c r="F52">
        <f>(D52+D53)/2</f>
        <v>65.72</v>
      </c>
      <c r="G52" s="7">
        <f>(E52+E54)/2</f>
        <v>0</v>
      </c>
      <c r="H52" s="16">
        <f t="shared" si="9"/>
        <v>50</v>
      </c>
      <c r="I52" s="6">
        <f t="shared" si="3"/>
        <v>3286</v>
      </c>
      <c r="J52" s="6">
        <f t="shared" si="4"/>
        <v>0</v>
      </c>
    </row>
    <row r="53" spans="1:13" x14ac:dyDescent="0.3">
      <c r="A53" s="10">
        <v>11850</v>
      </c>
      <c r="B53">
        <v>4</v>
      </c>
      <c r="D53">
        <v>55.01</v>
      </c>
      <c r="F53">
        <v>0</v>
      </c>
      <c r="G53" s="1">
        <v>0</v>
      </c>
      <c r="H53" s="16">
        <f t="shared" si="9"/>
        <v>225</v>
      </c>
      <c r="I53" s="6">
        <f t="shared" ref="I53" si="10">F53*H53</f>
        <v>0</v>
      </c>
      <c r="J53" s="6">
        <f t="shared" ref="J53" si="11">G53*H53</f>
        <v>0</v>
      </c>
      <c r="L53" s="17" t="s">
        <v>72</v>
      </c>
    </row>
    <row r="54" spans="1:13" x14ac:dyDescent="0.3">
      <c r="A54" s="10">
        <v>12075</v>
      </c>
      <c r="B54">
        <v>5</v>
      </c>
      <c r="D54">
        <v>76.430000000000007</v>
      </c>
      <c r="F54">
        <f t="shared" si="1"/>
        <v>38.620000000000005</v>
      </c>
      <c r="G54" s="1">
        <f t="shared" si="2"/>
        <v>0.28499999999999998</v>
      </c>
      <c r="H54" s="7">
        <f t="shared" si="9"/>
        <v>125</v>
      </c>
      <c r="I54" s="6">
        <f t="shared" si="3"/>
        <v>4827.5000000000009</v>
      </c>
      <c r="J54" s="6">
        <f t="shared" si="4"/>
        <v>35.625</v>
      </c>
    </row>
    <row r="55" spans="1:13" x14ac:dyDescent="0.3">
      <c r="A55" s="10">
        <v>12200</v>
      </c>
      <c r="B55">
        <v>0</v>
      </c>
      <c r="D55">
        <v>0.81</v>
      </c>
      <c r="E55" s="6">
        <v>0.56999999999999995</v>
      </c>
      <c r="F55">
        <f t="shared" si="1"/>
        <v>0.40500000000000003</v>
      </c>
      <c r="G55" s="1">
        <f t="shared" si="2"/>
        <v>8.6349999999999998</v>
      </c>
      <c r="H55" s="7">
        <f t="shared" si="9"/>
        <v>200</v>
      </c>
      <c r="I55" s="6">
        <f t="shared" si="3"/>
        <v>81</v>
      </c>
      <c r="J55" s="6">
        <f t="shared" si="4"/>
        <v>1727</v>
      </c>
    </row>
    <row r="56" spans="1:13" x14ac:dyDescent="0.3">
      <c r="A56" s="10">
        <v>12400</v>
      </c>
      <c r="C56">
        <v>2</v>
      </c>
      <c r="E56" s="6">
        <v>16.7</v>
      </c>
      <c r="F56">
        <f t="shared" si="1"/>
        <v>0</v>
      </c>
      <c r="G56" s="1">
        <f t="shared" si="2"/>
        <v>14.615</v>
      </c>
      <c r="H56" s="7">
        <f t="shared" si="9"/>
        <v>200</v>
      </c>
      <c r="I56" s="6">
        <f t="shared" si="3"/>
        <v>0</v>
      </c>
      <c r="J56" s="6">
        <f t="shared" si="4"/>
        <v>2923</v>
      </c>
    </row>
    <row r="57" spans="1:13" x14ac:dyDescent="0.3">
      <c r="A57" s="10">
        <v>12600</v>
      </c>
      <c r="C57">
        <v>1.5</v>
      </c>
      <c r="E57" s="6">
        <v>12.530000000000001</v>
      </c>
      <c r="F57">
        <f t="shared" si="1"/>
        <v>0</v>
      </c>
      <c r="G57" s="1">
        <f t="shared" si="2"/>
        <v>10.440000000000001</v>
      </c>
      <c r="H57" s="7">
        <f t="shared" si="9"/>
        <v>25</v>
      </c>
      <c r="I57" s="6">
        <f t="shared" si="3"/>
        <v>0</v>
      </c>
      <c r="J57" s="6">
        <f t="shared" si="4"/>
        <v>261.00000000000006</v>
      </c>
    </row>
    <row r="58" spans="1:13" x14ac:dyDescent="0.3">
      <c r="A58" s="10">
        <v>12625</v>
      </c>
      <c r="C58">
        <v>1</v>
      </c>
      <c r="E58" s="6">
        <v>8.35</v>
      </c>
      <c r="F58">
        <f t="shared" si="1"/>
        <v>0.40500000000000003</v>
      </c>
      <c r="G58" s="1">
        <f t="shared" si="2"/>
        <v>4.46</v>
      </c>
      <c r="H58" s="7">
        <f t="shared" si="9"/>
        <v>175</v>
      </c>
      <c r="I58" s="6">
        <f t="shared" si="3"/>
        <v>70.875</v>
      </c>
      <c r="J58" s="6">
        <f t="shared" si="4"/>
        <v>780.5</v>
      </c>
      <c r="L58" t="s">
        <v>67</v>
      </c>
      <c r="M58">
        <v>13</v>
      </c>
    </row>
    <row r="59" spans="1:13" x14ac:dyDescent="0.3">
      <c r="A59" s="10">
        <v>12800</v>
      </c>
      <c r="B59">
        <v>0</v>
      </c>
      <c r="D59">
        <v>0.81</v>
      </c>
      <c r="E59" s="6">
        <v>0.56999999999999995</v>
      </c>
      <c r="F59">
        <f t="shared" si="1"/>
        <v>6.0349999999999993</v>
      </c>
      <c r="G59" s="1">
        <f t="shared" si="2"/>
        <v>0.28499999999999998</v>
      </c>
      <c r="H59" s="7">
        <f t="shared" si="9"/>
        <v>200</v>
      </c>
      <c r="I59" s="6">
        <f t="shared" si="3"/>
        <v>1206.9999999999998</v>
      </c>
      <c r="J59" s="6">
        <f t="shared" si="4"/>
        <v>56.999999999999993</v>
      </c>
      <c r="L59" t="s">
        <v>67</v>
      </c>
      <c r="M59">
        <v>13</v>
      </c>
    </row>
    <row r="60" spans="1:13" x14ac:dyDescent="0.3">
      <c r="A60" s="10">
        <v>13000</v>
      </c>
      <c r="B60">
        <v>1</v>
      </c>
      <c r="D60">
        <v>11.259999999999998</v>
      </c>
      <c r="F60">
        <f t="shared" si="1"/>
        <v>6.0349999999999993</v>
      </c>
      <c r="G60" s="1">
        <f t="shared" si="2"/>
        <v>0.28499999999999998</v>
      </c>
      <c r="H60" s="7">
        <f t="shared" si="9"/>
        <v>150</v>
      </c>
      <c r="I60" s="6">
        <f t="shared" si="3"/>
        <v>905.24999999999989</v>
      </c>
      <c r="J60" s="6">
        <f t="shared" si="4"/>
        <v>42.749999999999993</v>
      </c>
      <c r="K60" s="12" t="str" cm="1">
        <f t="array" ref="K60">tongji(I46:J60)</f>
        <v>本页路堤 35928,路堑12657</v>
      </c>
      <c r="L60" t="s">
        <v>67</v>
      </c>
      <c r="M60">
        <v>13</v>
      </c>
    </row>
    <row r="61" spans="1:13" x14ac:dyDescent="0.3">
      <c r="A61" s="10">
        <v>13150</v>
      </c>
      <c r="B61">
        <v>0</v>
      </c>
      <c r="D61">
        <v>0.81</v>
      </c>
      <c r="E61" s="6">
        <v>0.56999999999999995</v>
      </c>
    </row>
    <row r="62" spans="1:13" x14ac:dyDescent="0.3">
      <c r="K62" s="12" t="str" cm="1">
        <f t="array" ref="K62">tongji(I3:J60)</f>
        <v>本页路堤 115718,路堑204781</v>
      </c>
    </row>
  </sheetData>
  <sortState xmlns:xlrd2="http://schemas.microsoft.com/office/spreadsheetml/2017/richdata2" ref="A3:O61">
    <sortCondition ref="A3:A61"/>
  </sortState>
  <mergeCells count="7">
    <mergeCell ref="A1:A2"/>
    <mergeCell ref="K1:K2"/>
    <mergeCell ref="L1:L2"/>
    <mergeCell ref="I1:J1"/>
    <mergeCell ref="F1:G1"/>
    <mergeCell ref="D1:E1"/>
    <mergeCell ref="B1:C1"/>
  </mergeCells>
  <phoneticPr fontId="1" type="noConversion"/>
  <dataValidations count="1">
    <dataValidation type="list" allowBlank="1" showInputMessage="1" showErrorMessage="1" sqref="L3:L52 L54:L1048576" xr:uid="{A0373BB7-458D-46E3-AA79-70B3A191B77F}">
      <formula1>$N$3:$N$4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1E261-0B8F-4AEF-94FB-6D8BB50B0874}">
  <sheetPr codeName="Sheet6"/>
  <dimension ref="A1:F23"/>
  <sheetViews>
    <sheetView topLeftCell="A13" workbookViewId="0">
      <selection activeCell="I18" sqref="I18"/>
    </sheetView>
  </sheetViews>
  <sheetFormatPr defaultRowHeight="14" x14ac:dyDescent="0.3"/>
  <cols>
    <col min="2" max="2" width="18.83203125" customWidth="1"/>
    <col min="3" max="3" width="11.08203125" customWidth="1"/>
  </cols>
  <sheetData>
    <row r="1" spans="1:6" x14ac:dyDescent="0.3">
      <c r="A1" s="9" t="s">
        <v>76</v>
      </c>
      <c r="B1" s="22" t="s">
        <v>77</v>
      </c>
      <c r="C1" s="22"/>
      <c r="D1" s="9" t="s">
        <v>78</v>
      </c>
      <c r="E1" s="9" t="s">
        <v>79</v>
      </c>
      <c r="F1" s="9" t="s">
        <v>80</v>
      </c>
    </row>
    <row r="2" spans="1:6" x14ac:dyDescent="0.3">
      <c r="A2" s="9">
        <v>1</v>
      </c>
      <c r="B2" s="22" t="s">
        <v>81</v>
      </c>
      <c r="C2" s="22"/>
      <c r="D2" s="9" t="s">
        <v>103</v>
      </c>
      <c r="E2" s="9"/>
      <c r="F2" s="9"/>
    </row>
    <row r="3" spans="1:6" x14ac:dyDescent="0.3">
      <c r="A3" s="9">
        <v>2</v>
      </c>
      <c r="B3" s="22" t="s">
        <v>82</v>
      </c>
      <c r="C3" s="22"/>
      <c r="D3" s="9" t="s">
        <v>103</v>
      </c>
      <c r="E3" s="9"/>
      <c r="F3" s="9"/>
    </row>
    <row r="4" spans="1:6" x14ac:dyDescent="0.3">
      <c r="A4" s="9">
        <v>3</v>
      </c>
      <c r="B4" s="22" t="s">
        <v>83</v>
      </c>
      <c r="C4" s="22"/>
      <c r="D4" s="9" t="s">
        <v>104</v>
      </c>
      <c r="E4" s="9"/>
      <c r="F4" s="9"/>
    </row>
    <row r="5" spans="1:6" x14ac:dyDescent="0.3">
      <c r="A5" s="9">
        <v>4</v>
      </c>
      <c r="B5" s="22" t="s">
        <v>84</v>
      </c>
      <c r="C5" s="22"/>
      <c r="D5" s="9"/>
      <c r="E5" s="9"/>
      <c r="F5" s="9"/>
    </row>
    <row r="6" spans="1:6" x14ac:dyDescent="0.3">
      <c r="A6" s="9">
        <v>5</v>
      </c>
      <c r="B6" s="22" t="s">
        <v>85</v>
      </c>
      <c r="C6" s="22"/>
      <c r="D6" s="9" t="s">
        <v>105</v>
      </c>
      <c r="E6" s="9"/>
      <c r="F6" s="9"/>
    </row>
    <row r="7" spans="1:6" x14ac:dyDescent="0.3">
      <c r="A7" s="9">
        <v>6</v>
      </c>
      <c r="B7" s="22" t="s">
        <v>86</v>
      </c>
      <c r="C7" s="22"/>
      <c r="D7" s="9" t="s">
        <v>106</v>
      </c>
      <c r="E7" s="9"/>
      <c r="F7" s="9"/>
    </row>
    <row r="8" spans="1:6" x14ac:dyDescent="0.3">
      <c r="A8" s="9">
        <v>7</v>
      </c>
      <c r="B8" s="22" t="s">
        <v>87</v>
      </c>
      <c r="C8" s="22"/>
      <c r="D8" s="9" t="s">
        <v>104</v>
      </c>
      <c r="E8" s="9"/>
      <c r="F8" s="9"/>
    </row>
    <row r="9" spans="1:6" x14ac:dyDescent="0.3">
      <c r="A9" s="9">
        <v>8</v>
      </c>
      <c r="B9" s="22" t="s">
        <v>88</v>
      </c>
      <c r="C9" s="22"/>
      <c r="D9" s="9" t="s">
        <v>107</v>
      </c>
      <c r="E9" s="9"/>
      <c r="F9" s="9"/>
    </row>
    <row r="10" spans="1:6" x14ac:dyDescent="0.3">
      <c r="A10" s="9">
        <v>9</v>
      </c>
      <c r="B10" s="22" t="s">
        <v>89</v>
      </c>
      <c r="C10" s="22"/>
      <c r="D10" s="9" t="s">
        <v>108</v>
      </c>
      <c r="E10" s="9"/>
      <c r="F10" s="9"/>
    </row>
    <row r="11" spans="1:6" x14ac:dyDescent="0.3">
      <c r="A11" s="22">
        <v>10</v>
      </c>
      <c r="B11" s="22" t="s">
        <v>90</v>
      </c>
      <c r="C11" s="9" t="s">
        <v>91</v>
      </c>
      <c r="D11" s="22" t="s">
        <v>109</v>
      </c>
      <c r="E11" s="9"/>
      <c r="F11" s="9"/>
    </row>
    <row r="12" spans="1:6" x14ac:dyDescent="0.3">
      <c r="A12" s="22"/>
      <c r="B12" s="22"/>
      <c r="C12" s="9" t="s">
        <v>92</v>
      </c>
      <c r="D12" s="22"/>
      <c r="E12" s="9"/>
      <c r="F12" s="9"/>
    </row>
    <row r="13" spans="1:6" x14ac:dyDescent="0.3">
      <c r="A13" s="9">
        <v>11</v>
      </c>
      <c r="B13" s="22" t="s">
        <v>93</v>
      </c>
      <c r="C13" s="22"/>
      <c r="D13" s="9" t="s">
        <v>110</v>
      </c>
      <c r="E13" s="9"/>
      <c r="F13" s="9"/>
    </row>
    <row r="14" spans="1:6" x14ac:dyDescent="0.3">
      <c r="A14" s="9"/>
      <c r="B14" s="22" t="s">
        <v>94</v>
      </c>
      <c r="C14" s="22"/>
      <c r="D14" s="9" t="s">
        <v>108</v>
      </c>
      <c r="E14" s="9"/>
      <c r="F14" s="9"/>
    </row>
    <row r="15" spans="1:6" x14ac:dyDescent="0.3">
      <c r="A15" s="9">
        <v>12</v>
      </c>
      <c r="B15" s="22" t="s">
        <v>95</v>
      </c>
      <c r="C15" s="22"/>
      <c r="D15" s="9" t="s">
        <v>110</v>
      </c>
      <c r="E15" s="9"/>
      <c r="F15" s="9"/>
    </row>
    <row r="16" spans="1:6" x14ac:dyDescent="0.3">
      <c r="A16" s="9">
        <v>13</v>
      </c>
      <c r="B16" s="22" t="s">
        <v>96</v>
      </c>
      <c r="C16" s="22"/>
      <c r="D16" s="9" t="s">
        <v>110</v>
      </c>
      <c r="E16" s="9"/>
      <c r="F16" s="9"/>
    </row>
    <row r="17" spans="1:6" x14ac:dyDescent="0.3">
      <c r="A17" s="9">
        <v>14</v>
      </c>
      <c r="B17" s="22" t="s">
        <v>97</v>
      </c>
      <c r="C17" s="22"/>
      <c r="D17" s="9" t="s">
        <v>110</v>
      </c>
      <c r="E17" s="9"/>
      <c r="F17" s="9"/>
    </row>
    <row r="18" spans="1:6" x14ac:dyDescent="0.3">
      <c r="A18" s="9">
        <v>15</v>
      </c>
      <c r="B18" s="22" t="s">
        <v>71</v>
      </c>
      <c r="C18" s="22"/>
      <c r="D18" s="9" t="s">
        <v>110</v>
      </c>
      <c r="E18" s="9"/>
      <c r="F18" s="9"/>
    </row>
    <row r="19" spans="1:6" x14ac:dyDescent="0.3">
      <c r="A19" s="9"/>
      <c r="B19" s="22" t="s">
        <v>98</v>
      </c>
      <c r="C19" s="22"/>
      <c r="D19" s="9" t="s">
        <v>108</v>
      </c>
      <c r="E19" s="9"/>
      <c r="F19" s="9"/>
    </row>
    <row r="20" spans="1:6" x14ac:dyDescent="0.3">
      <c r="A20" s="9">
        <v>16</v>
      </c>
      <c r="B20" s="22" t="s">
        <v>99</v>
      </c>
      <c r="C20" s="22"/>
      <c r="D20" s="9" t="s">
        <v>111</v>
      </c>
      <c r="E20" s="9"/>
      <c r="F20" s="9"/>
    </row>
    <row r="21" spans="1:6" x14ac:dyDescent="0.3">
      <c r="A21" s="9">
        <v>17</v>
      </c>
      <c r="B21" s="22" t="s">
        <v>100</v>
      </c>
      <c r="C21" s="22"/>
      <c r="D21" s="9" t="s">
        <v>112</v>
      </c>
      <c r="E21" s="9"/>
      <c r="F21" s="9"/>
    </row>
    <row r="22" spans="1:6" x14ac:dyDescent="0.3">
      <c r="A22" s="9">
        <v>18</v>
      </c>
      <c r="B22" s="22" t="s">
        <v>101</v>
      </c>
      <c r="C22" s="22"/>
      <c r="D22" s="9" t="s">
        <v>113</v>
      </c>
      <c r="E22" s="9"/>
      <c r="F22" s="9"/>
    </row>
    <row r="23" spans="1:6" x14ac:dyDescent="0.3">
      <c r="A23" s="9">
        <v>19</v>
      </c>
      <c r="B23" s="22" t="s">
        <v>102</v>
      </c>
      <c r="C23" s="22"/>
      <c r="D23" s="9" t="s">
        <v>113</v>
      </c>
      <c r="E23" s="9"/>
      <c r="F23" s="9"/>
    </row>
  </sheetData>
  <mergeCells count="24">
    <mergeCell ref="B23:C23"/>
    <mergeCell ref="B1:C1"/>
    <mergeCell ref="B17:C17"/>
    <mergeCell ref="B18:C18"/>
    <mergeCell ref="B19:C19"/>
    <mergeCell ref="B20:C20"/>
    <mergeCell ref="B21:C21"/>
    <mergeCell ref="B22:C22"/>
    <mergeCell ref="B9:C9"/>
    <mergeCell ref="B10:C10"/>
    <mergeCell ref="B13:C13"/>
    <mergeCell ref="B14:C14"/>
    <mergeCell ref="B15:C15"/>
    <mergeCell ref="B16:C16"/>
    <mergeCell ref="B11:B12"/>
    <mergeCell ref="A11:A12"/>
    <mergeCell ref="D11:D12"/>
    <mergeCell ref="B2:C2"/>
    <mergeCell ref="B3:C3"/>
    <mergeCell ref="B4:C4"/>
    <mergeCell ref="B5:C5"/>
    <mergeCell ref="B6:C6"/>
    <mergeCell ref="B7:C7"/>
    <mergeCell ref="B8:C8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35E11-EADA-4C85-A09C-1170AB6870E3}">
  <sheetPr codeName="Sheet3"/>
  <dimension ref="A1:N27"/>
  <sheetViews>
    <sheetView topLeftCell="A7" workbookViewId="0">
      <selection activeCell="N6" sqref="N6"/>
    </sheetView>
  </sheetViews>
  <sheetFormatPr defaultRowHeight="14" x14ac:dyDescent="0.3"/>
  <cols>
    <col min="8" max="8" width="12.6640625" customWidth="1"/>
  </cols>
  <sheetData>
    <row r="1" spans="1:14" x14ac:dyDescent="0.3">
      <c r="A1" t="s">
        <v>46</v>
      </c>
      <c r="B1" t="s">
        <v>47</v>
      </c>
      <c r="C1" t="s">
        <v>48</v>
      </c>
      <c r="D1" t="s">
        <v>51</v>
      </c>
    </row>
    <row r="2" spans="1:14" x14ac:dyDescent="0.3">
      <c r="A2" s="24" t="s">
        <v>49</v>
      </c>
      <c r="B2">
        <v>0.65</v>
      </c>
      <c r="C2">
        <v>0</v>
      </c>
      <c r="D2" cm="1">
        <f t="array" ref="D2">xxnc(I$2:I$26,J$2:J$26,C2)</f>
        <v>5.04</v>
      </c>
      <c r="E2">
        <v>0.65</v>
      </c>
      <c r="F2">
        <f>D2*E2</f>
        <v>3.2760000000000002</v>
      </c>
      <c r="H2">
        <v>11.6</v>
      </c>
      <c r="I2">
        <v>12</v>
      </c>
      <c r="J2">
        <v>23.01</v>
      </c>
      <c r="M2">
        <v>2500</v>
      </c>
      <c r="N2">
        <v>14.96</v>
      </c>
    </row>
    <row r="3" spans="1:14" x14ac:dyDescent="0.3">
      <c r="A3" s="24"/>
      <c r="B3">
        <v>0.5</v>
      </c>
      <c r="C3">
        <v>11.6</v>
      </c>
      <c r="D3" cm="1">
        <f t="array" ref="D3">xxnc(I$2:I$26,J$2:J$26,C3)</f>
        <v>22.077999999999999</v>
      </c>
      <c r="E3">
        <v>0.5</v>
      </c>
      <c r="F3">
        <f t="shared" ref="F3:F27" si="0">D3*E3</f>
        <v>11.039</v>
      </c>
      <c r="H3">
        <v>12</v>
      </c>
      <c r="I3">
        <v>11</v>
      </c>
      <c r="J3">
        <v>20.68</v>
      </c>
      <c r="M3">
        <v>2000</v>
      </c>
      <c r="N3">
        <v>11.46</v>
      </c>
    </row>
    <row r="4" spans="1:14" x14ac:dyDescent="0.3">
      <c r="A4" s="24"/>
      <c r="B4">
        <v>0.7</v>
      </c>
      <c r="C4">
        <v>12</v>
      </c>
      <c r="D4" cm="1">
        <f t="array" ref="D4">xxnc(I$2:I$26,J$2:J$26,C4)</f>
        <v>23.01</v>
      </c>
      <c r="E4">
        <v>0.7</v>
      </c>
      <c r="F4">
        <f t="shared" si="0"/>
        <v>16.106999999999999</v>
      </c>
      <c r="H4">
        <v>11.5</v>
      </c>
      <c r="I4">
        <v>10</v>
      </c>
      <c r="J4">
        <v>18.899999999999999</v>
      </c>
    </row>
    <row r="5" spans="1:14" x14ac:dyDescent="0.3">
      <c r="A5" s="24"/>
      <c r="B5">
        <v>0.65</v>
      </c>
      <c r="C5">
        <v>11.5</v>
      </c>
      <c r="D5" cm="1">
        <f t="array" ref="D5">xxnc(I$2:I$26,J$2:J$26,C5)</f>
        <v>21.844999999999999</v>
      </c>
      <c r="E5">
        <v>0.65</v>
      </c>
      <c r="F5">
        <f t="shared" si="0"/>
        <v>14.199249999999999</v>
      </c>
      <c r="H5">
        <v>11.3</v>
      </c>
      <c r="I5">
        <v>9</v>
      </c>
      <c r="J5">
        <v>17.350000000000001</v>
      </c>
      <c r="M5">
        <v>2030</v>
      </c>
      <c r="N5" cm="1">
        <f t="array" ref="N5">xxnc(M2:M3,N2:N3,M5)</f>
        <v>11.670000000000002</v>
      </c>
    </row>
    <row r="6" spans="1:14" x14ac:dyDescent="0.3">
      <c r="A6" s="24"/>
      <c r="B6">
        <v>0.85</v>
      </c>
      <c r="C6">
        <v>11.3</v>
      </c>
      <c r="D6" cm="1">
        <f t="array" ref="D6">xxnc(I$2:I$26,J$2:J$26,C6)</f>
        <v>21.379000000000001</v>
      </c>
      <c r="E6">
        <v>0.85</v>
      </c>
      <c r="F6">
        <f t="shared" si="0"/>
        <v>18.172150000000002</v>
      </c>
      <c r="H6">
        <v>6</v>
      </c>
      <c r="I6">
        <v>8</v>
      </c>
      <c r="J6">
        <v>15.58</v>
      </c>
    </row>
    <row r="7" spans="1:14" x14ac:dyDescent="0.3">
      <c r="A7" s="24"/>
      <c r="B7">
        <v>0.9</v>
      </c>
      <c r="C7">
        <v>6</v>
      </c>
      <c r="D7" cm="1">
        <f t="array" ref="D7">xxnc(I$2:I$26,J$2:J$26,C7)</f>
        <v>12.43</v>
      </c>
      <c r="E7">
        <v>0.9</v>
      </c>
      <c r="F7">
        <f t="shared" si="0"/>
        <v>11.186999999999999</v>
      </c>
      <c r="H7">
        <f>SUM(H2:H6)</f>
        <v>52.400000000000006</v>
      </c>
      <c r="I7">
        <v>7</v>
      </c>
      <c r="J7">
        <v>13.97</v>
      </c>
    </row>
    <row r="8" spans="1:14" x14ac:dyDescent="0.3">
      <c r="A8" s="24"/>
      <c r="B8">
        <v>1.5</v>
      </c>
      <c r="C8">
        <v>-8</v>
      </c>
      <c r="D8" cm="1">
        <f t="array" ref="D8">xxnc(I$2:I$26,J$2:J$26,C8)</f>
        <v>3.59</v>
      </c>
      <c r="E8">
        <v>1.5</v>
      </c>
      <c r="F8">
        <f t="shared" si="0"/>
        <v>5.3849999999999998</v>
      </c>
      <c r="I8">
        <v>6</v>
      </c>
      <c r="J8">
        <v>12.43</v>
      </c>
    </row>
    <row r="9" spans="1:14" x14ac:dyDescent="0.3">
      <c r="A9" s="24"/>
      <c r="B9">
        <v>1.25</v>
      </c>
      <c r="C9">
        <v>-9</v>
      </c>
      <c r="D9" cm="1">
        <f t="array" ref="D9">xxnc(I$2:I$26,J$2:J$26,C9)</f>
        <v>3.88</v>
      </c>
      <c r="E9">
        <v>1.25</v>
      </c>
      <c r="F9">
        <f t="shared" si="0"/>
        <v>4.8499999999999996</v>
      </c>
      <c r="I9">
        <v>5</v>
      </c>
      <c r="J9">
        <v>11.15</v>
      </c>
    </row>
    <row r="10" spans="1:14" x14ac:dyDescent="0.3">
      <c r="A10" s="24"/>
      <c r="B10">
        <v>0.5</v>
      </c>
      <c r="C10">
        <v>-6</v>
      </c>
      <c r="D10" cm="1">
        <f t="array" ref="D10">xxnc(I$2:I$26,J$2:J$26,C10)</f>
        <v>3.01</v>
      </c>
      <c r="E10">
        <v>0.5</v>
      </c>
      <c r="F10">
        <f t="shared" si="0"/>
        <v>1.5049999999999999</v>
      </c>
      <c r="I10">
        <v>4</v>
      </c>
      <c r="J10">
        <v>9.93</v>
      </c>
    </row>
    <row r="11" spans="1:14" x14ac:dyDescent="0.3">
      <c r="A11" s="24"/>
      <c r="B11">
        <v>0.6</v>
      </c>
      <c r="C11">
        <v>-2</v>
      </c>
      <c r="D11" cm="1">
        <f t="array" ref="D11">xxnc(I$2:I$26,J$2:J$26,C11)</f>
        <v>2.57</v>
      </c>
      <c r="E11">
        <v>0.6</v>
      </c>
      <c r="F11">
        <f t="shared" si="0"/>
        <v>1.5419999999999998</v>
      </c>
      <c r="I11">
        <v>3</v>
      </c>
      <c r="J11">
        <v>8.69</v>
      </c>
    </row>
    <row r="12" spans="1:14" x14ac:dyDescent="0.3">
      <c r="A12" s="24"/>
      <c r="B12">
        <v>1.3</v>
      </c>
      <c r="C12">
        <v>9</v>
      </c>
      <c r="D12" cm="1">
        <f t="array" ref="D12">xxnc(I$2:I$26,J$2:J$26,C12)</f>
        <v>17.350000000000001</v>
      </c>
      <c r="E12">
        <v>1.3</v>
      </c>
      <c r="F12">
        <f t="shared" si="0"/>
        <v>22.555000000000003</v>
      </c>
      <c r="I12">
        <v>2</v>
      </c>
      <c r="J12">
        <v>7.57</v>
      </c>
    </row>
    <row r="13" spans="1:14" x14ac:dyDescent="0.3">
      <c r="A13" s="24"/>
      <c r="B13">
        <v>1.85</v>
      </c>
      <c r="C13">
        <v>-4</v>
      </c>
      <c r="D13" cm="1">
        <f t="array" ref="D13">xxnc(I$2:I$26,J$2:J$26,C13)</f>
        <v>2.35</v>
      </c>
      <c r="E13">
        <v>1.85</v>
      </c>
      <c r="F13">
        <f t="shared" si="0"/>
        <v>4.3475000000000001</v>
      </c>
      <c r="I13">
        <v>1</v>
      </c>
      <c r="J13">
        <v>6.34</v>
      </c>
    </row>
    <row r="14" spans="1:14" x14ac:dyDescent="0.3">
      <c r="A14" s="24"/>
      <c r="B14">
        <v>1.25</v>
      </c>
      <c r="C14">
        <v>0</v>
      </c>
      <c r="D14" cm="1">
        <f t="array" ref="D14">xxnc(I$2:I$26,J$2:J$26,C14)</f>
        <v>5.04</v>
      </c>
      <c r="E14">
        <v>1.25</v>
      </c>
      <c r="F14">
        <f t="shared" si="0"/>
        <v>6.3</v>
      </c>
      <c r="G14">
        <f>SUM(F2:F14)</f>
        <v>120.4649</v>
      </c>
      <c r="I14">
        <v>0</v>
      </c>
      <c r="J14">
        <v>5.04</v>
      </c>
    </row>
    <row r="15" spans="1:14" x14ac:dyDescent="0.3">
      <c r="A15" s="24" t="s">
        <v>50</v>
      </c>
      <c r="B15">
        <v>1.25</v>
      </c>
      <c r="C15">
        <v>0</v>
      </c>
      <c r="D15" cm="1">
        <f t="array" ref="D15">xxnc(I$2:I$26,J$2:J$26,C15)</f>
        <v>5.04</v>
      </c>
      <c r="E15">
        <v>1.25</v>
      </c>
      <c r="F15">
        <f t="shared" si="0"/>
        <v>6.3</v>
      </c>
      <c r="I15">
        <v>-1</v>
      </c>
      <c r="J15">
        <v>3.95</v>
      </c>
    </row>
    <row r="16" spans="1:14" x14ac:dyDescent="0.3">
      <c r="A16" s="24"/>
      <c r="B16">
        <v>1.85</v>
      </c>
      <c r="C16">
        <v>4</v>
      </c>
      <c r="D16" cm="1">
        <f t="array" ref="D16">xxnc(I$2:I$26,J$2:J$26,C16)</f>
        <v>9.93</v>
      </c>
      <c r="E16">
        <v>1.85</v>
      </c>
      <c r="F16">
        <f t="shared" si="0"/>
        <v>18.3705</v>
      </c>
      <c r="I16">
        <v>-2</v>
      </c>
      <c r="J16">
        <v>2.57</v>
      </c>
    </row>
    <row r="17" spans="1:10" x14ac:dyDescent="0.3">
      <c r="A17" s="24"/>
      <c r="B17">
        <v>1.3</v>
      </c>
      <c r="C17">
        <v>-9</v>
      </c>
      <c r="D17" cm="1">
        <f t="array" ref="D17">xxnc(I$2:I$26,J$2:J$26,C17)</f>
        <v>3.88</v>
      </c>
      <c r="E17">
        <v>1.3</v>
      </c>
      <c r="F17">
        <f t="shared" si="0"/>
        <v>5.0439999999999996</v>
      </c>
      <c r="H17">
        <v>4</v>
      </c>
      <c r="I17">
        <v>-3</v>
      </c>
      <c r="J17">
        <v>2.06</v>
      </c>
    </row>
    <row r="18" spans="1:10" x14ac:dyDescent="0.3">
      <c r="A18" s="24"/>
      <c r="B18">
        <v>0.6</v>
      </c>
      <c r="C18">
        <v>2</v>
      </c>
      <c r="D18" cm="1">
        <f t="array" ref="D18">xxnc(I$2:I$26,J$2:J$26,C18)</f>
        <v>7.57</v>
      </c>
      <c r="E18">
        <v>0.6</v>
      </c>
      <c r="F18">
        <f t="shared" si="0"/>
        <v>4.5419999999999998</v>
      </c>
      <c r="H18">
        <v>2</v>
      </c>
      <c r="I18">
        <v>-4</v>
      </c>
      <c r="J18">
        <v>2.35</v>
      </c>
    </row>
    <row r="19" spans="1:10" x14ac:dyDescent="0.3">
      <c r="A19" s="24"/>
      <c r="B19">
        <v>0.5</v>
      </c>
      <c r="C19">
        <v>6</v>
      </c>
      <c r="D19" cm="1">
        <f t="array" ref="D19">xxnc(I$2:I$26,J$2:J$26,C19)</f>
        <v>12.43</v>
      </c>
      <c r="E19">
        <v>0.5</v>
      </c>
      <c r="F19">
        <f t="shared" si="0"/>
        <v>6.2149999999999999</v>
      </c>
      <c r="H19">
        <v>6</v>
      </c>
      <c r="I19">
        <v>-5</v>
      </c>
      <c r="J19">
        <v>2.73</v>
      </c>
    </row>
    <row r="20" spans="1:10" x14ac:dyDescent="0.3">
      <c r="A20" s="24"/>
      <c r="B20">
        <v>1.25</v>
      </c>
      <c r="C20">
        <v>9</v>
      </c>
      <c r="D20" cm="1">
        <f t="array" ref="D20">xxnc(I$2:I$26,J$2:J$26,C20)</f>
        <v>17.350000000000001</v>
      </c>
      <c r="E20">
        <v>1.25</v>
      </c>
      <c r="F20">
        <f t="shared" si="0"/>
        <v>21.6875</v>
      </c>
      <c r="H20">
        <v>9</v>
      </c>
      <c r="I20">
        <v>-6</v>
      </c>
      <c r="J20">
        <v>3.01</v>
      </c>
    </row>
    <row r="21" spans="1:10" x14ac:dyDescent="0.3">
      <c r="A21" s="24"/>
      <c r="B21">
        <v>1.5</v>
      </c>
      <c r="C21">
        <v>8</v>
      </c>
      <c r="D21" cm="1">
        <f t="array" ref="D21">xxnc(I$2:I$26,J$2:J$26,C21)</f>
        <v>15.58</v>
      </c>
      <c r="E21">
        <v>1.5</v>
      </c>
      <c r="F21">
        <f t="shared" si="0"/>
        <v>23.37</v>
      </c>
      <c r="H21">
        <v>8</v>
      </c>
      <c r="I21">
        <v>-7</v>
      </c>
      <c r="J21">
        <v>3.3</v>
      </c>
    </row>
    <row r="22" spans="1:10" x14ac:dyDescent="0.3">
      <c r="A22" s="24"/>
      <c r="B22">
        <v>0.9</v>
      </c>
      <c r="C22">
        <v>-6</v>
      </c>
      <c r="D22" cm="1">
        <f t="array" ref="D22">xxnc(I$2:I$26,J$2:J$26,C22)</f>
        <v>3.01</v>
      </c>
      <c r="E22">
        <v>0.9</v>
      </c>
      <c r="F22">
        <f t="shared" si="0"/>
        <v>2.7090000000000001</v>
      </c>
      <c r="H22">
        <f>SUM(H17:H21)</f>
        <v>29</v>
      </c>
      <c r="I22">
        <v>-8</v>
      </c>
      <c r="J22">
        <v>3.59</v>
      </c>
    </row>
    <row r="23" spans="1:10" x14ac:dyDescent="0.3">
      <c r="A23" s="24"/>
      <c r="B23">
        <v>0.85</v>
      </c>
      <c r="C23">
        <v>-11.3</v>
      </c>
      <c r="D23" cm="1">
        <f t="array" ref="D23">xxnc(I$2:I$26,J$2:J$26,C23)</f>
        <v>4.6570000000000009</v>
      </c>
      <c r="E23">
        <v>0.85</v>
      </c>
      <c r="F23">
        <f t="shared" si="0"/>
        <v>3.9584500000000005</v>
      </c>
      <c r="I23">
        <v>-9</v>
      </c>
      <c r="J23">
        <v>3.88</v>
      </c>
    </row>
    <row r="24" spans="1:10" x14ac:dyDescent="0.3">
      <c r="A24" s="24"/>
      <c r="B24">
        <v>0.65</v>
      </c>
      <c r="C24">
        <v>-11.5</v>
      </c>
      <c r="D24" cm="1">
        <f t="array" ref="D24">xxnc(I$2:I$26,J$2:J$26,C24)</f>
        <v>4.7149999999999999</v>
      </c>
      <c r="E24">
        <v>0.65</v>
      </c>
      <c r="F24">
        <f t="shared" si="0"/>
        <v>3.0647500000000001</v>
      </c>
      <c r="I24">
        <v>-10</v>
      </c>
      <c r="J24">
        <v>4.28</v>
      </c>
    </row>
    <row r="25" spans="1:10" x14ac:dyDescent="0.3">
      <c r="A25" s="24"/>
      <c r="B25">
        <v>0.7</v>
      </c>
      <c r="C25">
        <v>-12</v>
      </c>
      <c r="D25" cm="1">
        <f t="array" ref="D25">xxnc(I$2:I$26,J$2:J$26,C25)</f>
        <v>4.8600000000000003</v>
      </c>
      <c r="E25">
        <v>0.7</v>
      </c>
      <c r="F25">
        <f t="shared" si="0"/>
        <v>3.4020000000000001</v>
      </c>
      <c r="I25">
        <v>-11</v>
      </c>
      <c r="J25">
        <v>4.57</v>
      </c>
    </row>
    <row r="26" spans="1:10" x14ac:dyDescent="0.3">
      <c r="A26" s="24"/>
      <c r="B26">
        <v>0.5</v>
      </c>
      <c r="C26">
        <v>-11.6</v>
      </c>
      <c r="D26" cm="1">
        <f t="array" ref="D26">xxnc(I$2:I$26,J$2:J$26,C26)</f>
        <v>4.7439999999999998</v>
      </c>
      <c r="E26">
        <v>0.5</v>
      </c>
      <c r="F26">
        <f t="shared" si="0"/>
        <v>2.3719999999999999</v>
      </c>
      <c r="I26">
        <v>-12</v>
      </c>
      <c r="J26">
        <v>4.8600000000000003</v>
      </c>
    </row>
    <row r="27" spans="1:10" x14ac:dyDescent="0.3">
      <c r="A27" s="24"/>
      <c r="B27">
        <v>0.65</v>
      </c>
      <c r="C27">
        <v>0</v>
      </c>
      <c r="D27" cm="1">
        <f t="array" ref="D27">xxnc(I$2:I$26,J$2:J$26,C27)</f>
        <v>5.04</v>
      </c>
      <c r="E27">
        <v>0.65</v>
      </c>
      <c r="F27">
        <f t="shared" si="0"/>
        <v>3.2760000000000002</v>
      </c>
      <c r="G27">
        <f>SUM(F15:F27)</f>
        <v>104.31120000000001</v>
      </c>
    </row>
  </sheetData>
  <sortState xmlns:xlrd2="http://schemas.microsoft.com/office/spreadsheetml/2017/richdata2" ref="E1:G14">
    <sortCondition ref="F1:F14"/>
  </sortState>
  <mergeCells count="2">
    <mergeCell ref="A2:A14"/>
    <mergeCell ref="A15:A27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Sheet1</vt:lpstr>
      <vt:lpstr>路肩高程</vt:lpstr>
      <vt:lpstr>运行时分计算</vt:lpstr>
      <vt:lpstr>Sheet2</vt:lpstr>
      <vt:lpstr>土石方</vt:lpstr>
      <vt:lpstr>技术经济指标</vt:lpstr>
      <vt:lpstr>money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kaka</cp:lastModifiedBy>
  <dcterms:created xsi:type="dcterms:W3CDTF">2015-06-05T18:19:34Z</dcterms:created>
  <dcterms:modified xsi:type="dcterms:W3CDTF">2021-10-29T10:44:33Z</dcterms:modified>
</cp:coreProperties>
</file>